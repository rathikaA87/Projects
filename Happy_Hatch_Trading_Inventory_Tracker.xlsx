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PURCHASE" sheetId="5" state="visible" r:id="rId5"/>
    <sheet xmlns:r="http://schemas.openxmlformats.org/officeDocument/2006/relationships" name="INVOICE" sheetId="6" state="visible" r:id="rId6"/>
    <sheet xmlns:r="http://schemas.openxmlformats.org/officeDocument/2006/relationships" name="README" sheetId="7" state="visible" r:id="rId7"/>
  </sheets>
  <definedNames>
    <definedName name="lstCustomers">CUSTOMERS!$A$5:INDEX(CUSTOMERS!$A$5:$A$2000,MAX(1,COUNTA(CUSTOMERS!$A$5:$A$2000)))</definedName>
    <definedName name="lstProducts">PRODUCTS!$A$5:INDEX(PRODUCTS!$A$5:$A$2000,MAX(1,COUNTA(PRODUCTS!$A$5:$A$2000)))</definedName>
    <definedName name="lstOrders">INVOICE!$K$16:INDEX(INVOICE!$K$16:$K$75,MAX(1,COUNTIF(INVOICE!$K$16:$K$75,"?*")))</definedName>
    <definedName name="_xlnm.Print_Area" localSheetId="5">'INVOICE'!$A$1:$G$40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₹&quot;#,##0.00"/>
    <numFmt numFmtId="165" formatCode="0.0%"/>
    <numFmt numFmtId="166" formatCode="yyyy-mm-dd"/>
    <numFmt numFmtId="167" formatCode="dd-mmm-yyyy"/>
    <numFmt numFmtId="168" formatCode="&quot;₹&quot;#,##0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color rgb="00595959"/>
      <sz val="9"/>
    </font>
    <font>
      <name val="Arial"/>
      <b val="1"/>
      <color rgb="001F3864"/>
      <sz val="15"/>
    </font>
    <font>
      <name val="Arial"/>
      <b val="1"/>
      <sz val="11"/>
    </font>
    <font>
      <name val="Arial"/>
      <color rgb="00808080"/>
      <sz val="8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top style="thin">
        <color rgb="00BFBFBF"/>
      </top>
    </border>
    <border>
      <right style="thin">
        <color rgb="00BFBFBF"/>
      </right>
      <top style="thin">
        <color rgb="00BFBFBF"/>
      </top>
    </border>
    <border>
      <left style="thin">
        <color rgb="00BFBFBF"/>
      </left>
      <bottom style="thin">
        <color rgb="00BFBFBF"/>
      </bottom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12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0" pivotButton="0" quotePrefix="0" xfId="0"/>
    <xf numFmtId="167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8" fillId="4" borderId="0" pivotButton="0" quotePrefix="0" xfId="0"/>
    <xf numFmtId="0" fontId="0" fillId="4" borderId="0" pivotButton="0" quotePrefix="0" xfId="0"/>
    <xf numFmtId="168" fontId="9" fillId="4" borderId="0" applyAlignment="1" pivotButton="0" quotePrefix="0" xfId="0">
      <alignment horizontal="left"/>
    </xf>
    <xf numFmtId="3" fontId="9" fillId="4" borderId="0" applyAlignment="1" pivotButton="0" quotePrefix="0" xfId="0">
      <alignment horizontal="left"/>
    </xf>
    <xf numFmtId="0" fontId="10" fillId="0" borderId="0" pivotButton="0" quotePrefix="0" xfId="0"/>
    <xf numFmtId="0" fontId="3" fillId="2" borderId="0" applyAlignment="1" pivotButton="0" quotePrefix="0" xfId="0">
      <alignment horizontal="center" wrapText="1"/>
    </xf>
    <xf numFmtId="0" fontId="5" fillId="0" borderId="1" pivotButton="0" quotePrefix="0" xfId="0"/>
    <xf numFmtId="168" fontId="5" fillId="0" borderId="1" pivotButton="0" quotePrefix="0" xfId="0"/>
    <xf numFmtId="0" fontId="11" fillId="0" borderId="0" pivotButton="0" quotePrefix="0" xfId="0"/>
    <xf numFmtId="167" fontId="5" fillId="0" borderId="1" pivotButton="0" quotePrefix="0" xfId="0"/>
    <xf numFmtId="3" fontId="5" fillId="0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4" fillId="0" borderId="0" pivotButton="0" quotePrefix="0" xfId="0"/>
    <xf numFmtId="3" fontId="5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165" fontId="4" fillId="0" borderId="0" pivotButton="0" quotePrefix="0" xfId="0"/>
    <xf numFmtId="0" fontId="4" fillId="0" borderId="1" pivotButton="0" quotePrefix="0" xfId="0"/>
    <xf numFmtId="167" fontId="4" fillId="0" borderId="1" pivotButton="0" quotePrefix="0" xfId="0"/>
    <xf numFmtId="164" fontId="5" fillId="0" borderId="1" pivotButton="0" quotePrefix="0" xfId="0"/>
    <xf numFmtId="164" fontId="4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167" fontId="4" fillId="0" borderId="0" pivotButton="0" quotePrefix="0" xfId="0"/>
    <xf numFmtId="0" fontId="5" fillId="0" borderId="0" pivotButton="0" quotePrefix="0" xfId="0"/>
    <xf numFmtId="3" fontId="4" fillId="0" borderId="0" pivotButton="0" quotePrefix="0" xfId="0"/>
    <xf numFmtId="49" fontId="4" fillId="0" borderId="1" pivotButton="0" quotePrefix="0" xfId="0"/>
    <xf numFmtId="49" fontId="4" fillId="0" borderId="0" pivotButton="0" quotePrefix="0" xfId="0"/>
    <xf numFmtId="0" fontId="4" fillId="3" borderId="1" pivotButton="0" quotePrefix="0" xfId="0"/>
    <xf numFmtId="0" fontId="7" fillId="0" borderId="0" applyAlignment="1" pivotButton="0" quotePrefix="0" xfId="0">
      <alignment horizontal="right"/>
    </xf>
    <xf numFmtId="167" fontId="5" fillId="0" borderId="0" pivotButton="0" quotePrefix="0" xfId="0"/>
    <xf numFmtId="0" fontId="3" fillId="2" borderId="0" applyAlignment="1" pivotButton="0" quotePrefix="0" xfId="0">
      <alignment horizontal="center"/>
    </xf>
    <xf numFmtId="164" fontId="10" fillId="0" borderId="0" pivotButton="0" quotePrefix="0" xfId="0"/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amount by product (selected dates)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'DASHBOARD'!$A$15:$A$22</f>
            </numRef>
          </cat>
          <val>
            <numRef>
              <f>'DASHBOARD'!$D$15:$D$22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/Relationships>
</file>

<file path=xl/drawings/drawing1.xml><?xml version="1.0" encoding="utf-8"?>
<wsDr xmlns="http://schemas.openxmlformats.org/drawingml/2006/spreadsheetDrawing">
  <oneCellAnchor>
    <from>
      <col>8</col>
      <colOff>0</colOff>
      <row>5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4</row>
      <rowOff>0</rowOff>
    </from>
    <ext cx="9144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</row>
      <rowOff>0</rowOff>
    </from>
    <ext cx="91440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</row>
      <rowOff>0</rowOff>
    </from>
    <ext cx="1066800" cy="828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</row>
      <rowOff>0</rowOff>
    </from>
    <ext cx="1066800" cy="76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</row>
      <rowOff>0</rowOff>
    </from>
    <ext cx="5619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</row>
      <rowOff>0</rowOff>
    </from>
    <ext cx="36195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lProducts" displayName="tblProducts" ref="A4:N10" headerRowCount="1">
  <autoFilter ref="A4:N10"/>
  <tableColumns count="14">
    <tableColumn id="1" name="Column1"/>
    <tableColumn id="2" name="Column2"/>
    <tableColumn id="3" name="Column3"/>
    <tableColumn id="4" name="Column4">
      <calculatedColumnFormula>SUMIFS(PURCHASE!$E$5:$E$2000,PURCHASE!$C$5:$C$2000,tblProducts[[#This Row],[Product Code]])-SUMIFS(SALES!$H$5:$H$2000,SALES!$D$5:$D$2000,tblProducts[[#This Row],[Product Code]])</calculatedColumnFormula>
    </tableColumn>
    <tableColumn id="5" name="Column5"/>
    <tableColumn id="6" name="Column6"/>
    <tableColumn id="7" name="Column7">
      <calculatedColumnFormula>tblProducts[[#This Row],[Base Price]]+tblProducts[[#This Row],[Transit Charges]]</calculatedColumnFormula>
    </tableColumn>
    <tableColumn id="8" name="Column8"/>
    <tableColumn id="9" name="Column9">
      <calculatedColumnFormula>tblProducts[[#This Row],[Onboard Price]]+tblProducts[[#This Row],[Profitability Percentage]]*tblProducts[[#This Row],[Onboard Price]]</calculatedColumnFormula>
    </tableColumn>
    <tableColumn id="10" name="Column10"/>
    <tableColumn id="11" name="Column11">
      <calculatedColumnFormula>tblProducts[[#This Row],[Net Price]]-tblProducts[[#This Row],[Onboard Price]]</calculatedColumnFormula>
    </tableColumn>
    <tableColumn id="12" name="Column12"/>
    <tableColumn id="13" name="Column13"/>
    <tableColumn id="14" name="Column14"/>
  </tableColumns>
  <tableStyleInfo name="TableStyleLight9" showRowStripes="1"/>
</table>
</file>

<file path=xl/tables/table2.xml><?xml version="1.0" encoding="utf-8"?>
<table xmlns="http://schemas.openxmlformats.org/spreadsheetml/2006/main" id="2" name="tblSales" displayName="tblSales" ref="A4:O12" headerRowCount="1">
  <autoFilter ref="A4:O12"/>
  <tableColumns count="15">
    <tableColumn id="1" name="Column1"/>
    <tableColumn id="2" name="Column2"/>
    <tableColumn id="3" name="Column3"/>
    <tableColumn id="4" name="Column4"/>
    <tableColumn id="5" name="Column5">
      <calculatedColumnFormula>IFERROR(INDEX(tblProducts[Product Name],MATCH(tblSales[[#This Row],[Product Code]],tblProducts[Product Code],0)),"")</calculatedColumnFormula>
    </tableColumn>
    <tableColumn id="6" name="Column6">
      <calculatedColumnFormula>IFERROR(INDEX(tblProducts[Net Price],MATCH(tblSales[[#This Row],[Product Code]],tblProducts[Product Code],0)),0)</calculatedColumnFormula>
    </tableColumn>
    <tableColumn id="7" name="Column7"/>
    <tableColumn id="8" name="Column8"/>
    <tableColumn id="9" name="Column9">
      <calculatedColumnFormula>tblSales[[#This Row],[MRP]]*tblSales[[#This Row],[Quantity]]</calculatedColumnFormula>
    </tableColumn>
    <tableColumn id="10" name="Column10"/>
    <tableColumn id="11" name="Column11"/>
    <tableColumn id="12" name="Column12"/>
    <tableColumn id="13" name="Column13"/>
    <tableColumn id="14" name="Column14">
      <calculatedColumnFormula>"INV-"&amp;tblSales[[#This Row],[Order Number]]</calculatedColumnFormula>
    </tableColumn>
    <tableColumn id="15" name="Column15"/>
  </tableColumns>
  <tableStyleInfo name="TableStyleLight9" showRowStripes="1"/>
</table>
</file>

<file path=xl/tables/table3.xml><?xml version="1.0" encoding="utf-8"?>
<table xmlns="http://schemas.openxmlformats.org/spreadsheetml/2006/main" id="3" name="tblCustomers" displayName="tblCustomers" ref="A4:H8" headerRowCount="1">
  <autoFilter ref="A4:H8"/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TableStyleLight9" showRowStripes="1"/>
</table>
</file>

<file path=xl/tables/table4.xml><?xml version="1.0" encoding="utf-8"?>
<table xmlns="http://schemas.openxmlformats.org/spreadsheetml/2006/main" id="4" name="tblPurchase" displayName="tblPurchase" ref="A4:K10" headerRowCount="1">
  <autoFilter ref="A4:K10"/>
  <tableColumns count="11">
    <tableColumn id="1" name="Column1"/>
    <tableColumn id="2" name="Column2"/>
    <tableColumn id="3" name="Column3"/>
    <tableColumn id="4" name="Column4">
      <calculatedColumnFormula>IFERROR(INDEX(tblProducts[Product Name],MATCH(tblPurchase[[#This Row],[Product Code]],tblProducts[Product Code],0)),"")</calculatedColumnFormula>
    </tableColumn>
    <tableColumn id="5" name="Column5"/>
    <tableColumn id="6" name="Column6"/>
    <tableColumn id="7" name="Column7">
      <calculatedColumnFormula>tblPurchase[[#This Row],[Quantity]]*tblPurchase[[#This Row],[Unit Cost]]</calculatedColumnFormula>
    </tableColumn>
    <tableColumn id="8" name="Column8"/>
    <tableColumn id="9" name="Column9"/>
    <tableColumn id="10" name="Column10"/>
    <tableColumn id="11" name="Column11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Product_Photos/HH000101.jpg" TargetMode="External" Id="rId1"/><Relationship Type="http://schemas.openxmlformats.org/officeDocument/2006/relationships/hyperlink" Target="Product_Photos/HH000102.jpg" TargetMode="External" Id="rId2"/><Relationship Type="http://schemas.openxmlformats.org/officeDocument/2006/relationships/hyperlink" Target="Product_Photos/HH000103.jpg" TargetMode="External" Id="rId3"/><Relationship Type="http://schemas.openxmlformats.org/officeDocument/2006/relationships/hyperlink" Target="Product_Photos/HH000104.jpg" TargetMode="External" Id="rId4"/><Relationship Type="http://schemas.openxmlformats.org/officeDocument/2006/relationships/hyperlink" Target="Product_Photos/HH000105.jpg" TargetMode="External" Id="rId5"/><Relationship Type="http://schemas.openxmlformats.org/officeDocument/2006/relationships/hyperlink" Target="Product_Photos/HH000106.jpg" TargetMode="External" Id="rId6"/><Relationship Type="http://schemas.openxmlformats.org/officeDocument/2006/relationships/drawing" Target="/xl/drawings/drawing2.xml" Id="rId7"/><Relationship Type="http://schemas.openxmlformats.org/officeDocument/2006/relationships/table" Target="/xl/tables/table1.xml" Id="rId8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6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4" customWidth="1" min="9" max="9"/>
    <col width="4" customWidth="1" min="10" max="10"/>
    <col width="6" customWidth="1" min="12" max="12"/>
  </cols>
  <sheetData>
    <row r="1" ht="24" customHeight="1">
      <c r="A1" s="1" t="inlineStr">
        <is>
          <t>Happy Hatch – SALES &amp; INVENTORY DASHBOARD</t>
        </is>
      </c>
      <c r="G1" s="2" t="inlineStr">
        <is>
          <t>LOGO
(Insert Happy Hatch logo here)</t>
        </is>
      </c>
      <c r="H1" s="3" t="n"/>
    </row>
    <row r="2" ht="24" customHeight="1">
      <c r="A2" s="4" t="inlineStr">
        <is>
          <t>Change the yellow cells to search any date range. All figures below update automatically.</t>
        </is>
      </c>
      <c r="G2" s="5" t="n"/>
      <c r="H2" s="6" t="n"/>
    </row>
    <row r="3">
      <c r="A3" s="7" t="inlineStr">
        <is>
          <t>From date</t>
        </is>
      </c>
      <c r="B3" s="8" t="n">
        <v>46266</v>
      </c>
    </row>
    <row r="4">
      <c r="A4" s="7" t="inlineStr">
        <is>
          <t>To date (inclusive)</t>
        </is>
      </c>
      <c r="B4" s="8" t="n">
        <v>46326</v>
      </c>
    </row>
    <row r="5">
      <c r="A5" s="7" t="inlineStr">
        <is>
          <t>Low-stock threshold (units)</t>
        </is>
      </c>
      <c r="B5" s="9" t="n">
        <v>20</v>
      </c>
    </row>
    <row r="7">
      <c r="A7" s="10" t="inlineStr">
        <is>
          <t>Sales (Net Amount)</t>
        </is>
      </c>
      <c r="B7" s="11" t="n"/>
      <c r="C7" s="10" t="inlineStr">
        <is>
          <t>Units sold</t>
        </is>
      </c>
      <c r="D7" s="11" t="n"/>
      <c r="E7" s="10" t="inlineStr">
        <is>
          <t>No. of sales entries</t>
        </is>
      </c>
      <c r="F7" s="11" t="n"/>
      <c r="G7" s="10" t="inlineStr">
        <is>
          <t>Estimated revenue (profit)</t>
        </is>
      </c>
      <c r="H7" s="11" t="n"/>
    </row>
    <row r="8">
      <c r="A8" s="12">
        <f>SUMIFS(SALES!$I$5:$I$2000,SALES!$B$5:$B$2000,"&gt;="&amp;$B$3,SALES!$B$5:$B$2000,"&lt;="&amp;$B$4)</f>
        <v/>
      </c>
      <c r="B8" s="11" t="n"/>
      <c r="C8" s="13">
        <f>SUMIFS(SALES!$H$5:$H$2000,SALES!$B$5:$B$2000,"&gt;="&amp;$B$3,SALES!$B$5:$B$2000,"&lt;="&amp;$B$4)</f>
        <v/>
      </c>
      <c r="D8" s="11" t="n"/>
      <c r="E8" s="13">
        <f>COUNTIFS(SALES!$B$5:$B$2000,"&gt;="&amp;$B$3,SALES!$B$5:$B$2000,"&lt;="&amp;$B$4)</f>
        <v/>
      </c>
      <c r="F8" s="11" t="n"/>
      <c r="G8" s="12">
        <f>SUMPRODUCT(SUMIFS(SALES!$H$5:$H$2000,SALES!$D$5:$D$2000,PRODUCTS!$A$5:$A$2000,SALES!$B$5:$B$2000,"&gt;="&amp;$B$3,SALES!$B$5:$B$2000,"&lt;="&amp;$B$4)*PRODUCTS!$K$5:$K$2000)</f>
        <v/>
      </c>
      <c r="H8" s="11" t="n"/>
    </row>
    <row r="10">
      <c r="A10" s="10" t="inlineStr">
        <is>
          <t>Purchase cost</t>
        </is>
      </c>
      <c r="B10" s="11" t="n"/>
      <c r="C10" s="10" t="inlineStr">
        <is>
          <t>Units purchased</t>
        </is>
      </c>
      <c r="D10" s="11" t="n"/>
      <c r="E10" s="10" t="inlineStr">
        <is>
          <t>Units in stock (now)</t>
        </is>
      </c>
      <c r="F10" s="11" t="n"/>
      <c r="G10" s="10" t="inlineStr">
        <is>
          <t>Low-stock products</t>
        </is>
      </c>
      <c r="H10" s="11" t="n"/>
    </row>
    <row r="11">
      <c r="A11" s="12">
        <f>SUMIFS(PURCHASE!$G$5:$G$2000,PURCHASE!$B$5:$B$2000,"&gt;="&amp;$B$3,PURCHASE!$B$5:$B$2000,"&lt;="&amp;$B$4)</f>
        <v/>
      </c>
      <c r="B11" s="11" t="n"/>
      <c r="C11" s="13">
        <f>SUMIFS(PURCHASE!$E$5:$E$2000,PURCHASE!$B$5:$B$2000,"&gt;="&amp;$B$3,PURCHASE!$B$5:$B$2000,"&lt;="&amp;$B$4)</f>
        <v/>
      </c>
      <c r="D11" s="11" t="n"/>
      <c r="E11" s="13">
        <f>SUM(PRODUCTS!$D$5:$D$2000)</f>
        <v/>
      </c>
      <c r="F11" s="11" t="n"/>
      <c r="G11" s="13">
        <f>COUNTIFS(PRODUCTS!$A$5:$A$2000,"&lt;&gt;",PRODUCTS!$D$5:$D$2000,"&lt;="&amp;$B$5)</f>
        <v/>
      </c>
      <c r="H11" s="11" t="n"/>
    </row>
    <row r="13">
      <c r="A13" s="14" t="inlineStr">
        <is>
          <t>Product summary (date range applies to Sold / Purchased; In Stock is current)</t>
        </is>
      </c>
    </row>
    <row r="14">
      <c r="A14" s="15" t="inlineStr">
        <is>
          <t>Product Code</t>
        </is>
      </c>
      <c r="B14" s="15" t="inlineStr">
        <is>
          <t>Product Name</t>
        </is>
      </c>
      <c r="C14" s="15" t="inlineStr">
        <is>
          <t>Qty Sold</t>
        </is>
      </c>
      <c r="D14" s="15" t="inlineStr">
        <is>
          <t>Sales Amount</t>
        </is>
      </c>
      <c r="E14" s="15" t="inlineStr">
        <is>
          <t>Qty Purchased</t>
        </is>
      </c>
      <c r="F14" s="15" t="inlineStr">
        <is>
          <t>In Stock</t>
        </is>
      </c>
      <c r="G14" s="15" t="inlineStr">
        <is>
          <t>Stock Status</t>
        </is>
      </c>
    </row>
    <row r="15">
      <c r="A15" s="16">
        <f>IFERROR(INDEX(PRODUCTS!$A$5:$A$2000,1)&amp;"","")</f>
        <v/>
      </c>
      <c r="B15" s="16">
        <f>IF(A15="","",INDEX(PRODUCTS!$B$5:$B$2000,1))</f>
        <v/>
      </c>
      <c r="C15" s="16">
        <f>IF(A15="","",SUMIFS(SALES!$H$5:$H$2000,SALES!$D$5:$D$2000,A15,SALES!$B$5:$B$2000,"&gt;="&amp;$B$3,SALES!$B$5:$B$2000,"&lt;="&amp;$B$4))</f>
        <v/>
      </c>
      <c r="D15" s="17">
        <f>IF(A15="","",SUMIFS(SALES!$I$5:$I$2000,SALES!$D$5:$D$2000,A15,SALES!$B$5:$B$2000,"&gt;="&amp;$B$3,SALES!$B$5:$B$2000,"&lt;="&amp;$B$4))</f>
        <v/>
      </c>
      <c r="E15" s="16">
        <f>IF(A15="","",SUMIFS(PURCHASE!$E$5:$E$2000,PURCHASE!$C$5:$C$2000,A15,PURCHASE!$B$5:$B$2000,"&gt;="&amp;$B$3,PURCHASE!$B$5:$B$2000,"&lt;="&amp;$B$4))</f>
        <v/>
      </c>
      <c r="F15" s="16">
        <f>IF(A15="","",INDEX(PRODUCTS!$D$5:$D$2000,1))</f>
        <v/>
      </c>
      <c r="G15" s="16">
        <f>IF(A15="","",IF(F15&lt;=0,"OUT OF STOCK",IF(F15&lt;=$B$5,"LOW","OK")))</f>
        <v/>
      </c>
    </row>
    <row r="16">
      <c r="A16" s="16">
        <f>IFERROR(INDEX(PRODUCTS!$A$5:$A$2000,2)&amp;"","")</f>
        <v/>
      </c>
      <c r="B16" s="16">
        <f>IF(A16="","",INDEX(PRODUCTS!$B$5:$B$2000,2))</f>
        <v/>
      </c>
      <c r="C16" s="16">
        <f>IF(A16="","",SUMIFS(SALES!$H$5:$H$2000,SALES!$D$5:$D$2000,A16,SALES!$B$5:$B$2000,"&gt;="&amp;$B$3,SALES!$B$5:$B$2000,"&lt;="&amp;$B$4))</f>
        <v/>
      </c>
      <c r="D16" s="17">
        <f>IF(A16="","",SUMIFS(SALES!$I$5:$I$2000,SALES!$D$5:$D$2000,A16,SALES!$B$5:$B$2000,"&gt;="&amp;$B$3,SALES!$B$5:$B$2000,"&lt;="&amp;$B$4))</f>
        <v/>
      </c>
      <c r="E16" s="16">
        <f>IF(A16="","",SUMIFS(PURCHASE!$E$5:$E$2000,PURCHASE!$C$5:$C$2000,A16,PURCHASE!$B$5:$B$2000,"&gt;="&amp;$B$3,PURCHASE!$B$5:$B$2000,"&lt;="&amp;$B$4))</f>
        <v/>
      </c>
      <c r="F16" s="16">
        <f>IF(A16="","",INDEX(PRODUCTS!$D$5:$D$2000,2))</f>
        <v/>
      </c>
      <c r="G16" s="16">
        <f>IF(A16="","",IF(F16&lt;=0,"OUT OF STOCK",IF(F16&lt;=$B$5,"LOW","OK")))</f>
        <v/>
      </c>
    </row>
    <row r="17">
      <c r="A17" s="16">
        <f>IFERROR(INDEX(PRODUCTS!$A$5:$A$2000,3)&amp;"","")</f>
        <v/>
      </c>
      <c r="B17" s="16">
        <f>IF(A17="","",INDEX(PRODUCTS!$B$5:$B$2000,3))</f>
        <v/>
      </c>
      <c r="C17" s="16">
        <f>IF(A17="","",SUMIFS(SALES!$H$5:$H$2000,SALES!$D$5:$D$2000,A17,SALES!$B$5:$B$2000,"&gt;="&amp;$B$3,SALES!$B$5:$B$2000,"&lt;="&amp;$B$4))</f>
        <v/>
      </c>
      <c r="D17" s="17">
        <f>IF(A17="","",SUMIFS(SALES!$I$5:$I$2000,SALES!$D$5:$D$2000,A17,SALES!$B$5:$B$2000,"&gt;="&amp;$B$3,SALES!$B$5:$B$2000,"&lt;="&amp;$B$4))</f>
        <v/>
      </c>
      <c r="E17" s="16">
        <f>IF(A17="","",SUMIFS(PURCHASE!$E$5:$E$2000,PURCHASE!$C$5:$C$2000,A17,PURCHASE!$B$5:$B$2000,"&gt;="&amp;$B$3,PURCHASE!$B$5:$B$2000,"&lt;="&amp;$B$4))</f>
        <v/>
      </c>
      <c r="F17" s="16">
        <f>IF(A17="","",INDEX(PRODUCTS!$D$5:$D$2000,3))</f>
        <v/>
      </c>
      <c r="G17" s="16">
        <f>IF(A17="","",IF(F17&lt;=0,"OUT OF STOCK",IF(F17&lt;=$B$5,"LOW","OK")))</f>
        <v/>
      </c>
    </row>
    <row r="18">
      <c r="A18" s="16">
        <f>IFERROR(INDEX(PRODUCTS!$A$5:$A$2000,4)&amp;"","")</f>
        <v/>
      </c>
      <c r="B18" s="16">
        <f>IF(A18="","",INDEX(PRODUCTS!$B$5:$B$2000,4))</f>
        <v/>
      </c>
      <c r="C18" s="16">
        <f>IF(A18="","",SUMIFS(SALES!$H$5:$H$2000,SALES!$D$5:$D$2000,A18,SALES!$B$5:$B$2000,"&gt;="&amp;$B$3,SALES!$B$5:$B$2000,"&lt;="&amp;$B$4))</f>
        <v/>
      </c>
      <c r="D18" s="17">
        <f>IF(A18="","",SUMIFS(SALES!$I$5:$I$2000,SALES!$D$5:$D$2000,A18,SALES!$B$5:$B$2000,"&gt;="&amp;$B$3,SALES!$B$5:$B$2000,"&lt;="&amp;$B$4))</f>
        <v/>
      </c>
      <c r="E18" s="16">
        <f>IF(A18="","",SUMIFS(PURCHASE!$E$5:$E$2000,PURCHASE!$C$5:$C$2000,A18,PURCHASE!$B$5:$B$2000,"&gt;="&amp;$B$3,PURCHASE!$B$5:$B$2000,"&lt;="&amp;$B$4))</f>
        <v/>
      </c>
      <c r="F18" s="16">
        <f>IF(A18="","",INDEX(PRODUCTS!$D$5:$D$2000,4))</f>
        <v/>
      </c>
      <c r="G18" s="16">
        <f>IF(A18="","",IF(F18&lt;=0,"OUT OF STOCK",IF(F18&lt;=$B$5,"LOW","OK")))</f>
        <v/>
      </c>
    </row>
    <row r="19">
      <c r="A19" s="16">
        <f>IFERROR(INDEX(PRODUCTS!$A$5:$A$2000,5)&amp;"","")</f>
        <v/>
      </c>
      <c r="B19" s="16">
        <f>IF(A19="","",INDEX(PRODUCTS!$B$5:$B$2000,5))</f>
        <v/>
      </c>
      <c r="C19" s="16">
        <f>IF(A19="","",SUMIFS(SALES!$H$5:$H$2000,SALES!$D$5:$D$2000,A19,SALES!$B$5:$B$2000,"&gt;="&amp;$B$3,SALES!$B$5:$B$2000,"&lt;="&amp;$B$4))</f>
        <v/>
      </c>
      <c r="D19" s="17">
        <f>IF(A19="","",SUMIFS(SALES!$I$5:$I$2000,SALES!$D$5:$D$2000,A19,SALES!$B$5:$B$2000,"&gt;="&amp;$B$3,SALES!$B$5:$B$2000,"&lt;="&amp;$B$4))</f>
        <v/>
      </c>
      <c r="E19" s="16">
        <f>IF(A19="","",SUMIFS(PURCHASE!$E$5:$E$2000,PURCHASE!$C$5:$C$2000,A19,PURCHASE!$B$5:$B$2000,"&gt;="&amp;$B$3,PURCHASE!$B$5:$B$2000,"&lt;="&amp;$B$4))</f>
        <v/>
      </c>
      <c r="F19" s="16">
        <f>IF(A19="","",INDEX(PRODUCTS!$D$5:$D$2000,5))</f>
        <v/>
      </c>
      <c r="G19" s="16">
        <f>IF(A19="","",IF(F19&lt;=0,"OUT OF STOCK",IF(F19&lt;=$B$5,"LOW","OK")))</f>
        <v/>
      </c>
    </row>
    <row r="20">
      <c r="A20" s="16">
        <f>IFERROR(INDEX(PRODUCTS!$A$5:$A$2000,6)&amp;"","")</f>
        <v/>
      </c>
      <c r="B20" s="16">
        <f>IF(A20="","",INDEX(PRODUCTS!$B$5:$B$2000,6))</f>
        <v/>
      </c>
      <c r="C20" s="16">
        <f>IF(A20="","",SUMIFS(SALES!$H$5:$H$2000,SALES!$D$5:$D$2000,A20,SALES!$B$5:$B$2000,"&gt;="&amp;$B$3,SALES!$B$5:$B$2000,"&lt;="&amp;$B$4))</f>
        <v/>
      </c>
      <c r="D20" s="17">
        <f>IF(A20="","",SUMIFS(SALES!$I$5:$I$2000,SALES!$D$5:$D$2000,A20,SALES!$B$5:$B$2000,"&gt;="&amp;$B$3,SALES!$B$5:$B$2000,"&lt;="&amp;$B$4))</f>
        <v/>
      </c>
      <c r="E20" s="16">
        <f>IF(A20="","",SUMIFS(PURCHASE!$E$5:$E$2000,PURCHASE!$C$5:$C$2000,A20,PURCHASE!$B$5:$B$2000,"&gt;="&amp;$B$3,PURCHASE!$B$5:$B$2000,"&lt;="&amp;$B$4))</f>
        <v/>
      </c>
      <c r="F20" s="16">
        <f>IF(A20="","",INDEX(PRODUCTS!$D$5:$D$2000,6))</f>
        <v/>
      </c>
      <c r="G20" s="16">
        <f>IF(A20="","",IF(F20&lt;=0,"OUT OF STOCK",IF(F20&lt;=$B$5,"LOW","OK")))</f>
        <v/>
      </c>
    </row>
    <row r="21">
      <c r="A21" s="16">
        <f>IFERROR(INDEX(PRODUCTS!$A$5:$A$2000,7)&amp;"","")</f>
        <v/>
      </c>
      <c r="B21" s="16">
        <f>IF(A21="","",INDEX(PRODUCTS!$B$5:$B$2000,7))</f>
        <v/>
      </c>
      <c r="C21" s="16">
        <f>IF(A21="","",SUMIFS(SALES!$H$5:$H$2000,SALES!$D$5:$D$2000,A21,SALES!$B$5:$B$2000,"&gt;="&amp;$B$3,SALES!$B$5:$B$2000,"&lt;="&amp;$B$4))</f>
        <v/>
      </c>
      <c r="D21" s="17">
        <f>IF(A21="","",SUMIFS(SALES!$I$5:$I$2000,SALES!$D$5:$D$2000,A21,SALES!$B$5:$B$2000,"&gt;="&amp;$B$3,SALES!$B$5:$B$2000,"&lt;="&amp;$B$4))</f>
        <v/>
      </c>
      <c r="E21" s="16">
        <f>IF(A21="","",SUMIFS(PURCHASE!$E$5:$E$2000,PURCHASE!$C$5:$C$2000,A21,PURCHASE!$B$5:$B$2000,"&gt;="&amp;$B$3,PURCHASE!$B$5:$B$2000,"&lt;="&amp;$B$4))</f>
        <v/>
      </c>
      <c r="F21" s="16">
        <f>IF(A21="","",INDEX(PRODUCTS!$D$5:$D$2000,7))</f>
        <v/>
      </c>
      <c r="G21" s="16">
        <f>IF(A21="","",IF(F21&lt;=0,"OUT OF STOCK",IF(F21&lt;=$B$5,"LOW","OK")))</f>
        <v/>
      </c>
    </row>
    <row r="22">
      <c r="A22" s="16">
        <f>IFERROR(INDEX(PRODUCTS!$A$5:$A$2000,8)&amp;"","")</f>
        <v/>
      </c>
      <c r="B22" s="16">
        <f>IF(A22="","",INDEX(PRODUCTS!$B$5:$B$2000,8))</f>
        <v/>
      </c>
      <c r="C22" s="16">
        <f>IF(A22="","",SUMIFS(SALES!$H$5:$H$2000,SALES!$D$5:$D$2000,A22,SALES!$B$5:$B$2000,"&gt;="&amp;$B$3,SALES!$B$5:$B$2000,"&lt;="&amp;$B$4))</f>
        <v/>
      </c>
      <c r="D22" s="17">
        <f>IF(A22="","",SUMIFS(SALES!$I$5:$I$2000,SALES!$D$5:$D$2000,A22,SALES!$B$5:$B$2000,"&gt;="&amp;$B$3,SALES!$B$5:$B$2000,"&lt;="&amp;$B$4))</f>
        <v/>
      </c>
      <c r="E22" s="16">
        <f>IF(A22="","",SUMIFS(PURCHASE!$E$5:$E$2000,PURCHASE!$C$5:$C$2000,A22,PURCHASE!$B$5:$B$2000,"&gt;="&amp;$B$3,PURCHASE!$B$5:$B$2000,"&lt;="&amp;$B$4))</f>
        <v/>
      </c>
      <c r="F22" s="16">
        <f>IF(A22="","",INDEX(PRODUCTS!$D$5:$D$2000,8))</f>
        <v/>
      </c>
      <c r="G22" s="16">
        <f>IF(A22="","",IF(F22&lt;=0,"OUT OF STOCK",IF(F22&lt;=$B$5,"LOW","OK")))</f>
        <v/>
      </c>
    </row>
    <row r="23">
      <c r="A23" s="16">
        <f>IFERROR(INDEX(PRODUCTS!$A$5:$A$2000,9)&amp;"","")</f>
        <v/>
      </c>
      <c r="B23" s="16">
        <f>IF(A23="","",INDEX(PRODUCTS!$B$5:$B$2000,9))</f>
        <v/>
      </c>
      <c r="C23" s="16">
        <f>IF(A23="","",SUMIFS(SALES!$H$5:$H$2000,SALES!$D$5:$D$2000,A23,SALES!$B$5:$B$2000,"&gt;="&amp;$B$3,SALES!$B$5:$B$2000,"&lt;="&amp;$B$4))</f>
        <v/>
      </c>
      <c r="D23" s="17">
        <f>IF(A23="","",SUMIFS(SALES!$I$5:$I$2000,SALES!$D$5:$D$2000,A23,SALES!$B$5:$B$2000,"&gt;="&amp;$B$3,SALES!$B$5:$B$2000,"&lt;="&amp;$B$4))</f>
        <v/>
      </c>
      <c r="E23" s="16">
        <f>IF(A23="","",SUMIFS(PURCHASE!$E$5:$E$2000,PURCHASE!$C$5:$C$2000,A23,PURCHASE!$B$5:$B$2000,"&gt;="&amp;$B$3,PURCHASE!$B$5:$B$2000,"&lt;="&amp;$B$4))</f>
        <v/>
      </c>
      <c r="F23" s="16">
        <f>IF(A23="","",INDEX(PRODUCTS!$D$5:$D$2000,9))</f>
        <v/>
      </c>
      <c r="G23" s="16">
        <f>IF(A23="","",IF(F23&lt;=0,"OUT OF STOCK",IF(F23&lt;=$B$5,"LOW","OK")))</f>
        <v/>
      </c>
    </row>
    <row r="24">
      <c r="A24" s="16">
        <f>IFERROR(INDEX(PRODUCTS!$A$5:$A$2000,10)&amp;"","")</f>
        <v/>
      </c>
      <c r="B24" s="16">
        <f>IF(A24="","",INDEX(PRODUCTS!$B$5:$B$2000,10))</f>
        <v/>
      </c>
      <c r="C24" s="16">
        <f>IF(A24="","",SUMIFS(SALES!$H$5:$H$2000,SALES!$D$5:$D$2000,A24,SALES!$B$5:$B$2000,"&gt;="&amp;$B$3,SALES!$B$5:$B$2000,"&lt;="&amp;$B$4))</f>
        <v/>
      </c>
      <c r="D24" s="17">
        <f>IF(A24="","",SUMIFS(SALES!$I$5:$I$2000,SALES!$D$5:$D$2000,A24,SALES!$B$5:$B$2000,"&gt;="&amp;$B$3,SALES!$B$5:$B$2000,"&lt;="&amp;$B$4))</f>
        <v/>
      </c>
      <c r="E24" s="16">
        <f>IF(A24="","",SUMIFS(PURCHASE!$E$5:$E$2000,PURCHASE!$C$5:$C$2000,A24,PURCHASE!$B$5:$B$2000,"&gt;="&amp;$B$3,PURCHASE!$B$5:$B$2000,"&lt;="&amp;$B$4))</f>
        <v/>
      </c>
      <c r="F24" s="16">
        <f>IF(A24="","",INDEX(PRODUCTS!$D$5:$D$2000,10))</f>
        <v/>
      </c>
      <c r="G24" s="16">
        <f>IF(A24="","",IF(F24&lt;=0,"OUT OF STOCK",IF(F24&lt;=$B$5,"LOW","OK")))</f>
        <v/>
      </c>
    </row>
    <row r="25">
      <c r="A25" s="16">
        <f>IFERROR(INDEX(PRODUCTS!$A$5:$A$2000,11)&amp;"","")</f>
        <v/>
      </c>
      <c r="B25" s="16">
        <f>IF(A25="","",INDEX(PRODUCTS!$B$5:$B$2000,11))</f>
        <v/>
      </c>
      <c r="C25" s="16">
        <f>IF(A25="","",SUMIFS(SALES!$H$5:$H$2000,SALES!$D$5:$D$2000,A25,SALES!$B$5:$B$2000,"&gt;="&amp;$B$3,SALES!$B$5:$B$2000,"&lt;="&amp;$B$4))</f>
        <v/>
      </c>
      <c r="D25" s="17">
        <f>IF(A25="","",SUMIFS(SALES!$I$5:$I$2000,SALES!$D$5:$D$2000,A25,SALES!$B$5:$B$2000,"&gt;="&amp;$B$3,SALES!$B$5:$B$2000,"&lt;="&amp;$B$4))</f>
        <v/>
      </c>
      <c r="E25" s="16">
        <f>IF(A25="","",SUMIFS(PURCHASE!$E$5:$E$2000,PURCHASE!$C$5:$C$2000,A25,PURCHASE!$B$5:$B$2000,"&gt;="&amp;$B$3,PURCHASE!$B$5:$B$2000,"&lt;="&amp;$B$4))</f>
        <v/>
      </c>
      <c r="F25" s="16">
        <f>IF(A25="","",INDEX(PRODUCTS!$D$5:$D$2000,11))</f>
        <v/>
      </c>
      <c r="G25" s="16">
        <f>IF(A25="","",IF(F25&lt;=0,"OUT OF STOCK",IF(F25&lt;=$B$5,"LOW","OK")))</f>
        <v/>
      </c>
    </row>
    <row r="26">
      <c r="A26" s="16">
        <f>IFERROR(INDEX(PRODUCTS!$A$5:$A$2000,12)&amp;"","")</f>
        <v/>
      </c>
      <c r="B26" s="16">
        <f>IF(A26="","",INDEX(PRODUCTS!$B$5:$B$2000,12))</f>
        <v/>
      </c>
      <c r="C26" s="16">
        <f>IF(A26="","",SUMIFS(SALES!$H$5:$H$2000,SALES!$D$5:$D$2000,A26,SALES!$B$5:$B$2000,"&gt;="&amp;$B$3,SALES!$B$5:$B$2000,"&lt;="&amp;$B$4))</f>
        <v/>
      </c>
      <c r="D26" s="17">
        <f>IF(A26="","",SUMIFS(SALES!$I$5:$I$2000,SALES!$D$5:$D$2000,A26,SALES!$B$5:$B$2000,"&gt;="&amp;$B$3,SALES!$B$5:$B$2000,"&lt;="&amp;$B$4))</f>
        <v/>
      </c>
      <c r="E26" s="16">
        <f>IF(A26="","",SUMIFS(PURCHASE!$E$5:$E$2000,PURCHASE!$C$5:$C$2000,A26,PURCHASE!$B$5:$B$2000,"&gt;="&amp;$B$3,PURCHASE!$B$5:$B$2000,"&lt;="&amp;$B$4))</f>
        <v/>
      </c>
      <c r="F26" s="16">
        <f>IF(A26="","",INDEX(PRODUCTS!$D$5:$D$2000,12))</f>
        <v/>
      </c>
      <c r="G26" s="16">
        <f>IF(A26="","",IF(F26&lt;=0,"OUT OF STOCK",IF(F26&lt;=$B$5,"LOW","OK")))</f>
        <v/>
      </c>
    </row>
    <row r="27">
      <c r="A27" s="4" t="inlineStr">
        <is>
          <t>Shows the first 12 products in PRODUCTS.</t>
        </is>
      </c>
    </row>
    <row r="30">
      <c r="A30" s="14" t="inlineStr">
        <is>
          <t>Sales between the selected dates</t>
        </is>
      </c>
    </row>
    <row r="31">
      <c r="A31" s="15" t="inlineStr">
        <is>
          <t>Order No.</t>
        </is>
      </c>
      <c r="B31" s="15" t="inlineStr">
        <is>
          <t>Date</t>
        </is>
      </c>
      <c r="C31" s="15" t="inlineStr">
        <is>
          <t>Customer</t>
        </is>
      </c>
      <c r="D31" s="15" t="inlineStr">
        <is>
          <t>Product Code</t>
        </is>
      </c>
      <c r="E31" s="15" t="inlineStr">
        <is>
          <t>Product Name</t>
        </is>
      </c>
      <c r="F31" s="15" t="inlineStr">
        <is>
          <t>Qty</t>
        </is>
      </c>
      <c r="G31" s="15" t="inlineStr">
        <is>
          <t>Net Amount</t>
        </is>
      </c>
      <c r="L31" s="18" t="inlineStr">
        <is>
          <t>helper</t>
        </is>
      </c>
    </row>
    <row r="32">
      <c r="A32" s="16">
        <f>IF($L32="","",INDEX(SALES!$A$5:$A$2000,$L32))</f>
        <v/>
      </c>
      <c r="B32" s="19">
        <f>IF($L32="","",INDEX(SALES!$B$5:$B$2000,$L32))</f>
        <v/>
      </c>
      <c r="C32" s="16">
        <f>IF($L32="","",INDEX(SALES!$C$5:$C$2000,$L32))</f>
        <v/>
      </c>
      <c r="D32" s="16">
        <f>IF($L32="","",INDEX(SALES!$D$5:$D$2000,$L32))</f>
        <v/>
      </c>
      <c r="E32" s="16">
        <f>IF($L32="","",INDEX(SALES!$E$5:$E$2000,$L32))</f>
        <v/>
      </c>
      <c r="F32" s="20">
        <f>IF($L32="","",INDEX(SALES!$H$5:$H$2000,$L32))</f>
        <v/>
      </c>
      <c r="G32" s="17">
        <f>IF($L32="","",INDEX(SALES!$I$5:$I$2000,$L32))</f>
        <v/>
      </c>
      <c r="L32" s="18">
        <f>IFERROR(IF(SUMPRODUCT(SMALL(((SALES!$B$5:$B$2000&gt;=$B$3)*(SALES!$B$5:$B$2000&lt;=$B$4)*(SALES!$B$5:$B$2000&lt;&gt;""))*(ROW(SALES!$B$5:$B$2000)-4)+(1-(SALES!$B$5:$B$2000&gt;=$B$3)*(SALES!$B$5:$B$2000&lt;=$B$4)*(SALES!$B$5:$B$2000&lt;&gt;""))*1000000,1))&gt;=1000000,"",SUMPRODUCT(SMALL(((SALES!$B$5:$B$2000&gt;=$B$3)*(SALES!$B$5:$B$2000&lt;=$B$4)*(SALES!$B$5:$B$2000&lt;&gt;""))*(ROW(SALES!$B$5:$B$2000)-4)+(1-(SALES!$B$5:$B$2000&gt;=$B$3)*(SALES!$B$5:$B$2000&lt;=$B$4)*(SALES!$B$5:$B$2000&lt;&gt;""))*1000000,1))),"")</f>
        <v/>
      </c>
    </row>
    <row r="33">
      <c r="A33" s="16">
        <f>IF($L33="","",INDEX(SALES!$A$5:$A$2000,$L33))</f>
        <v/>
      </c>
      <c r="B33" s="19">
        <f>IF($L33="","",INDEX(SALES!$B$5:$B$2000,$L33))</f>
        <v/>
      </c>
      <c r="C33" s="16">
        <f>IF($L33="","",INDEX(SALES!$C$5:$C$2000,$L33))</f>
        <v/>
      </c>
      <c r="D33" s="16">
        <f>IF($L33="","",INDEX(SALES!$D$5:$D$2000,$L33))</f>
        <v/>
      </c>
      <c r="E33" s="16">
        <f>IF($L33="","",INDEX(SALES!$E$5:$E$2000,$L33))</f>
        <v/>
      </c>
      <c r="F33" s="20">
        <f>IF($L33="","",INDEX(SALES!$H$5:$H$2000,$L33))</f>
        <v/>
      </c>
      <c r="G33" s="17">
        <f>IF($L33="","",INDEX(SALES!$I$5:$I$2000,$L33))</f>
        <v/>
      </c>
      <c r="L33" s="18">
        <f>IFERROR(IF(SUMPRODUCT(SMALL(((SALES!$B$5:$B$2000&gt;=$B$3)*(SALES!$B$5:$B$2000&lt;=$B$4)*(SALES!$B$5:$B$2000&lt;&gt;""))*(ROW(SALES!$B$5:$B$2000)-4)+(1-(SALES!$B$5:$B$2000&gt;=$B$3)*(SALES!$B$5:$B$2000&lt;=$B$4)*(SALES!$B$5:$B$2000&lt;&gt;""))*1000000,2))&gt;=1000000,"",SUMPRODUCT(SMALL(((SALES!$B$5:$B$2000&gt;=$B$3)*(SALES!$B$5:$B$2000&lt;=$B$4)*(SALES!$B$5:$B$2000&lt;&gt;""))*(ROW(SALES!$B$5:$B$2000)-4)+(1-(SALES!$B$5:$B$2000&gt;=$B$3)*(SALES!$B$5:$B$2000&lt;=$B$4)*(SALES!$B$5:$B$2000&lt;&gt;""))*1000000,2))),"")</f>
        <v/>
      </c>
    </row>
    <row r="34">
      <c r="A34" s="16">
        <f>IF($L34="","",INDEX(SALES!$A$5:$A$2000,$L34))</f>
        <v/>
      </c>
      <c r="B34" s="19">
        <f>IF($L34="","",INDEX(SALES!$B$5:$B$2000,$L34))</f>
        <v/>
      </c>
      <c r="C34" s="16">
        <f>IF($L34="","",INDEX(SALES!$C$5:$C$2000,$L34))</f>
        <v/>
      </c>
      <c r="D34" s="16">
        <f>IF($L34="","",INDEX(SALES!$D$5:$D$2000,$L34))</f>
        <v/>
      </c>
      <c r="E34" s="16">
        <f>IF($L34="","",INDEX(SALES!$E$5:$E$2000,$L34))</f>
        <v/>
      </c>
      <c r="F34" s="20">
        <f>IF($L34="","",INDEX(SALES!$H$5:$H$2000,$L34))</f>
        <v/>
      </c>
      <c r="G34" s="17">
        <f>IF($L34="","",INDEX(SALES!$I$5:$I$2000,$L34))</f>
        <v/>
      </c>
      <c r="L34" s="18">
        <f>IFERROR(IF(SUMPRODUCT(SMALL(((SALES!$B$5:$B$2000&gt;=$B$3)*(SALES!$B$5:$B$2000&lt;=$B$4)*(SALES!$B$5:$B$2000&lt;&gt;""))*(ROW(SALES!$B$5:$B$2000)-4)+(1-(SALES!$B$5:$B$2000&gt;=$B$3)*(SALES!$B$5:$B$2000&lt;=$B$4)*(SALES!$B$5:$B$2000&lt;&gt;""))*1000000,3))&gt;=1000000,"",SUMPRODUCT(SMALL(((SALES!$B$5:$B$2000&gt;=$B$3)*(SALES!$B$5:$B$2000&lt;=$B$4)*(SALES!$B$5:$B$2000&lt;&gt;""))*(ROW(SALES!$B$5:$B$2000)-4)+(1-(SALES!$B$5:$B$2000&gt;=$B$3)*(SALES!$B$5:$B$2000&lt;=$B$4)*(SALES!$B$5:$B$2000&lt;&gt;""))*1000000,3))),"")</f>
        <v/>
      </c>
    </row>
    <row r="35">
      <c r="A35" s="16">
        <f>IF($L35="","",INDEX(SALES!$A$5:$A$2000,$L35))</f>
        <v/>
      </c>
      <c r="B35" s="19">
        <f>IF($L35="","",INDEX(SALES!$B$5:$B$2000,$L35))</f>
        <v/>
      </c>
      <c r="C35" s="16">
        <f>IF($L35="","",INDEX(SALES!$C$5:$C$2000,$L35))</f>
        <v/>
      </c>
      <c r="D35" s="16">
        <f>IF($L35="","",INDEX(SALES!$D$5:$D$2000,$L35))</f>
        <v/>
      </c>
      <c r="E35" s="16">
        <f>IF($L35="","",INDEX(SALES!$E$5:$E$2000,$L35))</f>
        <v/>
      </c>
      <c r="F35" s="20">
        <f>IF($L35="","",INDEX(SALES!$H$5:$H$2000,$L35))</f>
        <v/>
      </c>
      <c r="G35" s="17">
        <f>IF($L35="","",INDEX(SALES!$I$5:$I$2000,$L35))</f>
        <v/>
      </c>
      <c r="L35" s="18">
        <f>IFERROR(IF(SUMPRODUCT(SMALL(((SALES!$B$5:$B$2000&gt;=$B$3)*(SALES!$B$5:$B$2000&lt;=$B$4)*(SALES!$B$5:$B$2000&lt;&gt;""))*(ROW(SALES!$B$5:$B$2000)-4)+(1-(SALES!$B$5:$B$2000&gt;=$B$3)*(SALES!$B$5:$B$2000&lt;=$B$4)*(SALES!$B$5:$B$2000&lt;&gt;""))*1000000,4))&gt;=1000000,"",SUMPRODUCT(SMALL(((SALES!$B$5:$B$2000&gt;=$B$3)*(SALES!$B$5:$B$2000&lt;=$B$4)*(SALES!$B$5:$B$2000&lt;&gt;""))*(ROW(SALES!$B$5:$B$2000)-4)+(1-(SALES!$B$5:$B$2000&gt;=$B$3)*(SALES!$B$5:$B$2000&lt;=$B$4)*(SALES!$B$5:$B$2000&lt;&gt;""))*1000000,4))),"")</f>
        <v/>
      </c>
    </row>
    <row r="36">
      <c r="A36" s="16">
        <f>IF($L36="","",INDEX(SALES!$A$5:$A$2000,$L36))</f>
        <v/>
      </c>
      <c r="B36" s="19">
        <f>IF($L36="","",INDEX(SALES!$B$5:$B$2000,$L36))</f>
        <v/>
      </c>
      <c r="C36" s="16">
        <f>IF($L36="","",INDEX(SALES!$C$5:$C$2000,$L36))</f>
        <v/>
      </c>
      <c r="D36" s="16">
        <f>IF($L36="","",INDEX(SALES!$D$5:$D$2000,$L36))</f>
        <v/>
      </c>
      <c r="E36" s="16">
        <f>IF($L36="","",INDEX(SALES!$E$5:$E$2000,$L36))</f>
        <v/>
      </c>
      <c r="F36" s="20">
        <f>IF($L36="","",INDEX(SALES!$H$5:$H$2000,$L36))</f>
        <v/>
      </c>
      <c r="G36" s="17">
        <f>IF($L36="","",INDEX(SALES!$I$5:$I$2000,$L36))</f>
        <v/>
      </c>
      <c r="L36" s="18">
        <f>IFERROR(IF(SUMPRODUCT(SMALL(((SALES!$B$5:$B$2000&gt;=$B$3)*(SALES!$B$5:$B$2000&lt;=$B$4)*(SALES!$B$5:$B$2000&lt;&gt;""))*(ROW(SALES!$B$5:$B$2000)-4)+(1-(SALES!$B$5:$B$2000&gt;=$B$3)*(SALES!$B$5:$B$2000&lt;=$B$4)*(SALES!$B$5:$B$2000&lt;&gt;""))*1000000,5))&gt;=1000000,"",SUMPRODUCT(SMALL(((SALES!$B$5:$B$2000&gt;=$B$3)*(SALES!$B$5:$B$2000&lt;=$B$4)*(SALES!$B$5:$B$2000&lt;&gt;""))*(ROW(SALES!$B$5:$B$2000)-4)+(1-(SALES!$B$5:$B$2000&gt;=$B$3)*(SALES!$B$5:$B$2000&lt;=$B$4)*(SALES!$B$5:$B$2000&lt;&gt;""))*1000000,5))),"")</f>
        <v/>
      </c>
    </row>
    <row r="37">
      <c r="A37" s="16">
        <f>IF($L37="","",INDEX(SALES!$A$5:$A$2000,$L37))</f>
        <v/>
      </c>
      <c r="B37" s="19">
        <f>IF($L37="","",INDEX(SALES!$B$5:$B$2000,$L37))</f>
        <v/>
      </c>
      <c r="C37" s="16">
        <f>IF($L37="","",INDEX(SALES!$C$5:$C$2000,$L37))</f>
        <v/>
      </c>
      <c r="D37" s="16">
        <f>IF($L37="","",INDEX(SALES!$D$5:$D$2000,$L37))</f>
        <v/>
      </c>
      <c r="E37" s="16">
        <f>IF($L37="","",INDEX(SALES!$E$5:$E$2000,$L37))</f>
        <v/>
      </c>
      <c r="F37" s="20">
        <f>IF($L37="","",INDEX(SALES!$H$5:$H$2000,$L37))</f>
        <v/>
      </c>
      <c r="G37" s="17">
        <f>IF($L37="","",INDEX(SALES!$I$5:$I$2000,$L37))</f>
        <v/>
      </c>
      <c r="L37" s="18">
        <f>IFERROR(IF(SUMPRODUCT(SMALL(((SALES!$B$5:$B$2000&gt;=$B$3)*(SALES!$B$5:$B$2000&lt;=$B$4)*(SALES!$B$5:$B$2000&lt;&gt;""))*(ROW(SALES!$B$5:$B$2000)-4)+(1-(SALES!$B$5:$B$2000&gt;=$B$3)*(SALES!$B$5:$B$2000&lt;=$B$4)*(SALES!$B$5:$B$2000&lt;&gt;""))*1000000,6))&gt;=1000000,"",SUMPRODUCT(SMALL(((SALES!$B$5:$B$2000&gt;=$B$3)*(SALES!$B$5:$B$2000&lt;=$B$4)*(SALES!$B$5:$B$2000&lt;&gt;""))*(ROW(SALES!$B$5:$B$2000)-4)+(1-(SALES!$B$5:$B$2000&gt;=$B$3)*(SALES!$B$5:$B$2000&lt;=$B$4)*(SALES!$B$5:$B$2000&lt;&gt;""))*1000000,6))),"")</f>
        <v/>
      </c>
    </row>
    <row r="38">
      <c r="A38" s="16">
        <f>IF($L38="","",INDEX(SALES!$A$5:$A$2000,$L38))</f>
        <v/>
      </c>
      <c r="B38" s="19">
        <f>IF($L38="","",INDEX(SALES!$B$5:$B$2000,$L38))</f>
        <v/>
      </c>
      <c r="C38" s="16">
        <f>IF($L38="","",INDEX(SALES!$C$5:$C$2000,$L38))</f>
        <v/>
      </c>
      <c r="D38" s="16">
        <f>IF($L38="","",INDEX(SALES!$D$5:$D$2000,$L38))</f>
        <v/>
      </c>
      <c r="E38" s="16">
        <f>IF($L38="","",INDEX(SALES!$E$5:$E$2000,$L38))</f>
        <v/>
      </c>
      <c r="F38" s="20">
        <f>IF($L38="","",INDEX(SALES!$H$5:$H$2000,$L38))</f>
        <v/>
      </c>
      <c r="G38" s="17">
        <f>IF($L38="","",INDEX(SALES!$I$5:$I$2000,$L38))</f>
        <v/>
      </c>
      <c r="L38" s="18">
        <f>IFERROR(IF(SUMPRODUCT(SMALL(((SALES!$B$5:$B$2000&gt;=$B$3)*(SALES!$B$5:$B$2000&lt;=$B$4)*(SALES!$B$5:$B$2000&lt;&gt;""))*(ROW(SALES!$B$5:$B$2000)-4)+(1-(SALES!$B$5:$B$2000&gt;=$B$3)*(SALES!$B$5:$B$2000&lt;=$B$4)*(SALES!$B$5:$B$2000&lt;&gt;""))*1000000,7))&gt;=1000000,"",SUMPRODUCT(SMALL(((SALES!$B$5:$B$2000&gt;=$B$3)*(SALES!$B$5:$B$2000&lt;=$B$4)*(SALES!$B$5:$B$2000&lt;&gt;""))*(ROW(SALES!$B$5:$B$2000)-4)+(1-(SALES!$B$5:$B$2000&gt;=$B$3)*(SALES!$B$5:$B$2000&lt;=$B$4)*(SALES!$B$5:$B$2000&lt;&gt;""))*1000000,7))),"")</f>
        <v/>
      </c>
    </row>
    <row r="39">
      <c r="A39" s="16">
        <f>IF($L39="","",INDEX(SALES!$A$5:$A$2000,$L39))</f>
        <v/>
      </c>
      <c r="B39" s="19">
        <f>IF($L39="","",INDEX(SALES!$B$5:$B$2000,$L39))</f>
        <v/>
      </c>
      <c r="C39" s="16">
        <f>IF($L39="","",INDEX(SALES!$C$5:$C$2000,$L39))</f>
        <v/>
      </c>
      <c r="D39" s="16">
        <f>IF($L39="","",INDEX(SALES!$D$5:$D$2000,$L39))</f>
        <v/>
      </c>
      <c r="E39" s="16">
        <f>IF($L39="","",INDEX(SALES!$E$5:$E$2000,$L39))</f>
        <v/>
      </c>
      <c r="F39" s="20">
        <f>IF($L39="","",INDEX(SALES!$H$5:$H$2000,$L39))</f>
        <v/>
      </c>
      <c r="G39" s="17">
        <f>IF($L39="","",INDEX(SALES!$I$5:$I$2000,$L39))</f>
        <v/>
      </c>
      <c r="L39" s="18">
        <f>IFERROR(IF(SUMPRODUCT(SMALL(((SALES!$B$5:$B$2000&gt;=$B$3)*(SALES!$B$5:$B$2000&lt;=$B$4)*(SALES!$B$5:$B$2000&lt;&gt;""))*(ROW(SALES!$B$5:$B$2000)-4)+(1-(SALES!$B$5:$B$2000&gt;=$B$3)*(SALES!$B$5:$B$2000&lt;=$B$4)*(SALES!$B$5:$B$2000&lt;&gt;""))*1000000,8))&gt;=1000000,"",SUMPRODUCT(SMALL(((SALES!$B$5:$B$2000&gt;=$B$3)*(SALES!$B$5:$B$2000&lt;=$B$4)*(SALES!$B$5:$B$2000&lt;&gt;""))*(ROW(SALES!$B$5:$B$2000)-4)+(1-(SALES!$B$5:$B$2000&gt;=$B$3)*(SALES!$B$5:$B$2000&lt;=$B$4)*(SALES!$B$5:$B$2000&lt;&gt;""))*1000000,8))),"")</f>
        <v/>
      </c>
    </row>
    <row r="40">
      <c r="A40" s="16">
        <f>IF($L40="","",INDEX(SALES!$A$5:$A$2000,$L40))</f>
        <v/>
      </c>
      <c r="B40" s="19">
        <f>IF($L40="","",INDEX(SALES!$B$5:$B$2000,$L40))</f>
        <v/>
      </c>
      <c r="C40" s="16">
        <f>IF($L40="","",INDEX(SALES!$C$5:$C$2000,$L40))</f>
        <v/>
      </c>
      <c r="D40" s="16">
        <f>IF($L40="","",INDEX(SALES!$D$5:$D$2000,$L40))</f>
        <v/>
      </c>
      <c r="E40" s="16">
        <f>IF($L40="","",INDEX(SALES!$E$5:$E$2000,$L40))</f>
        <v/>
      </c>
      <c r="F40" s="20">
        <f>IF($L40="","",INDEX(SALES!$H$5:$H$2000,$L40))</f>
        <v/>
      </c>
      <c r="G40" s="17">
        <f>IF($L40="","",INDEX(SALES!$I$5:$I$2000,$L40))</f>
        <v/>
      </c>
      <c r="L40" s="18">
        <f>IFERROR(IF(SUMPRODUCT(SMALL(((SALES!$B$5:$B$2000&gt;=$B$3)*(SALES!$B$5:$B$2000&lt;=$B$4)*(SALES!$B$5:$B$2000&lt;&gt;""))*(ROW(SALES!$B$5:$B$2000)-4)+(1-(SALES!$B$5:$B$2000&gt;=$B$3)*(SALES!$B$5:$B$2000&lt;=$B$4)*(SALES!$B$5:$B$2000&lt;&gt;""))*1000000,9))&gt;=1000000,"",SUMPRODUCT(SMALL(((SALES!$B$5:$B$2000&gt;=$B$3)*(SALES!$B$5:$B$2000&lt;=$B$4)*(SALES!$B$5:$B$2000&lt;&gt;""))*(ROW(SALES!$B$5:$B$2000)-4)+(1-(SALES!$B$5:$B$2000&gt;=$B$3)*(SALES!$B$5:$B$2000&lt;=$B$4)*(SALES!$B$5:$B$2000&lt;&gt;""))*1000000,9))),"")</f>
        <v/>
      </c>
    </row>
    <row r="41">
      <c r="A41" s="16">
        <f>IF($L41="","",INDEX(SALES!$A$5:$A$2000,$L41))</f>
        <v/>
      </c>
      <c r="B41" s="19">
        <f>IF($L41="","",INDEX(SALES!$B$5:$B$2000,$L41))</f>
        <v/>
      </c>
      <c r="C41" s="16">
        <f>IF($L41="","",INDEX(SALES!$C$5:$C$2000,$L41))</f>
        <v/>
      </c>
      <c r="D41" s="16">
        <f>IF($L41="","",INDEX(SALES!$D$5:$D$2000,$L41))</f>
        <v/>
      </c>
      <c r="E41" s="16">
        <f>IF($L41="","",INDEX(SALES!$E$5:$E$2000,$L41))</f>
        <v/>
      </c>
      <c r="F41" s="20">
        <f>IF($L41="","",INDEX(SALES!$H$5:$H$2000,$L41))</f>
        <v/>
      </c>
      <c r="G41" s="17">
        <f>IF($L41="","",INDEX(SALES!$I$5:$I$2000,$L41))</f>
        <v/>
      </c>
      <c r="L41" s="18">
        <f>IFERROR(IF(SUMPRODUCT(SMALL(((SALES!$B$5:$B$2000&gt;=$B$3)*(SALES!$B$5:$B$2000&lt;=$B$4)*(SALES!$B$5:$B$2000&lt;&gt;""))*(ROW(SALES!$B$5:$B$2000)-4)+(1-(SALES!$B$5:$B$2000&gt;=$B$3)*(SALES!$B$5:$B$2000&lt;=$B$4)*(SALES!$B$5:$B$2000&lt;&gt;""))*1000000,10))&gt;=1000000,"",SUMPRODUCT(SMALL(((SALES!$B$5:$B$2000&gt;=$B$3)*(SALES!$B$5:$B$2000&lt;=$B$4)*(SALES!$B$5:$B$2000&lt;&gt;""))*(ROW(SALES!$B$5:$B$2000)-4)+(1-(SALES!$B$5:$B$2000&gt;=$B$3)*(SALES!$B$5:$B$2000&lt;=$B$4)*(SALES!$B$5:$B$2000&lt;&gt;""))*1000000,10))),"")</f>
        <v/>
      </c>
    </row>
    <row r="42">
      <c r="A42" s="16">
        <f>IF($L42="","",INDEX(SALES!$A$5:$A$2000,$L42))</f>
        <v/>
      </c>
      <c r="B42" s="19">
        <f>IF($L42="","",INDEX(SALES!$B$5:$B$2000,$L42))</f>
        <v/>
      </c>
      <c r="C42" s="16">
        <f>IF($L42="","",INDEX(SALES!$C$5:$C$2000,$L42))</f>
        <v/>
      </c>
      <c r="D42" s="16">
        <f>IF($L42="","",INDEX(SALES!$D$5:$D$2000,$L42))</f>
        <v/>
      </c>
      <c r="E42" s="16">
        <f>IF($L42="","",INDEX(SALES!$E$5:$E$2000,$L42))</f>
        <v/>
      </c>
      <c r="F42" s="20">
        <f>IF($L42="","",INDEX(SALES!$H$5:$H$2000,$L42))</f>
        <v/>
      </c>
      <c r="G42" s="17">
        <f>IF($L42="","",INDEX(SALES!$I$5:$I$2000,$L42))</f>
        <v/>
      </c>
      <c r="L42" s="18">
        <f>IFERROR(IF(SUMPRODUCT(SMALL(((SALES!$B$5:$B$2000&gt;=$B$3)*(SALES!$B$5:$B$2000&lt;=$B$4)*(SALES!$B$5:$B$2000&lt;&gt;""))*(ROW(SALES!$B$5:$B$2000)-4)+(1-(SALES!$B$5:$B$2000&gt;=$B$3)*(SALES!$B$5:$B$2000&lt;=$B$4)*(SALES!$B$5:$B$2000&lt;&gt;""))*1000000,11))&gt;=1000000,"",SUMPRODUCT(SMALL(((SALES!$B$5:$B$2000&gt;=$B$3)*(SALES!$B$5:$B$2000&lt;=$B$4)*(SALES!$B$5:$B$2000&lt;&gt;""))*(ROW(SALES!$B$5:$B$2000)-4)+(1-(SALES!$B$5:$B$2000&gt;=$B$3)*(SALES!$B$5:$B$2000&lt;=$B$4)*(SALES!$B$5:$B$2000&lt;&gt;""))*1000000,11))),"")</f>
        <v/>
      </c>
    </row>
    <row r="43">
      <c r="A43" s="16">
        <f>IF($L43="","",INDEX(SALES!$A$5:$A$2000,$L43))</f>
        <v/>
      </c>
      <c r="B43" s="19">
        <f>IF($L43="","",INDEX(SALES!$B$5:$B$2000,$L43))</f>
        <v/>
      </c>
      <c r="C43" s="16">
        <f>IF($L43="","",INDEX(SALES!$C$5:$C$2000,$L43))</f>
        <v/>
      </c>
      <c r="D43" s="16">
        <f>IF($L43="","",INDEX(SALES!$D$5:$D$2000,$L43))</f>
        <v/>
      </c>
      <c r="E43" s="16">
        <f>IF($L43="","",INDEX(SALES!$E$5:$E$2000,$L43))</f>
        <v/>
      </c>
      <c r="F43" s="20">
        <f>IF($L43="","",INDEX(SALES!$H$5:$H$2000,$L43))</f>
        <v/>
      </c>
      <c r="G43" s="17">
        <f>IF($L43="","",INDEX(SALES!$I$5:$I$2000,$L43))</f>
        <v/>
      </c>
      <c r="L43" s="18">
        <f>IFERROR(IF(SUMPRODUCT(SMALL(((SALES!$B$5:$B$2000&gt;=$B$3)*(SALES!$B$5:$B$2000&lt;=$B$4)*(SALES!$B$5:$B$2000&lt;&gt;""))*(ROW(SALES!$B$5:$B$2000)-4)+(1-(SALES!$B$5:$B$2000&gt;=$B$3)*(SALES!$B$5:$B$2000&lt;=$B$4)*(SALES!$B$5:$B$2000&lt;&gt;""))*1000000,12))&gt;=1000000,"",SUMPRODUCT(SMALL(((SALES!$B$5:$B$2000&gt;=$B$3)*(SALES!$B$5:$B$2000&lt;=$B$4)*(SALES!$B$5:$B$2000&lt;&gt;""))*(ROW(SALES!$B$5:$B$2000)-4)+(1-(SALES!$B$5:$B$2000&gt;=$B$3)*(SALES!$B$5:$B$2000&lt;=$B$4)*(SALES!$B$5:$B$2000&lt;&gt;""))*1000000,12))),"")</f>
        <v/>
      </c>
    </row>
    <row r="44">
      <c r="A44" s="16">
        <f>IF($L44="","",INDEX(SALES!$A$5:$A$2000,$L44))</f>
        <v/>
      </c>
      <c r="B44" s="19">
        <f>IF($L44="","",INDEX(SALES!$B$5:$B$2000,$L44))</f>
        <v/>
      </c>
      <c r="C44" s="16">
        <f>IF($L44="","",INDEX(SALES!$C$5:$C$2000,$L44))</f>
        <v/>
      </c>
      <c r="D44" s="16">
        <f>IF($L44="","",INDEX(SALES!$D$5:$D$2000,$L44))</f>
        <v/>
      </c>
      <c r="E44" s="16">
        <f>IF($L44="","",INDEX(SALES!$E$5:$E$2000,$L44))</f>
        <v/>
      </c>
      <c r="F44" s="20">
        <f>IF($L44="","",INDEX(SALES!$H$5:$H$2000,$L44))</f>
        <v/>
      </c>
      <c r="G44" s="17">
        <f>IF($L44="","",INDEX(SALES!$I$5:$I$2000,$L44))</f>
        <v/>
      </c>
      <c r="L44" s="18">
        <f>IFERROR(IF(SUMPRODUCT(SMALL(((SALES!$B$5:$B$2000&gt;=$B$3)*(SALES!$B$5:$B$2000&lt;=$B$4)*(SALES!$B$5:$B$2000&lt;&gt;""))*(ROW(SALES!$B$5:$B$2000)-4)+(1-(SALES!$B$5:$B$2000&gt;=$B$3)*(SALES!$B$5:$B$2000&lt;=$B$4)*(SALES!$B$5:$B$2000&lt;&gt;""))*1000000,13))&gt;=1000000,"",SUMPRODUCT(SMALL(((SALES!$B$5:$B$2000&gt;=$B$3)*(SALES!$B$5:$B$2000&lt;=$B$4)*(SALES!$B$5:$B$2000&lt;&gt;""))*(ROW(SALES!$B$5:$B$2000)-4)+(1-(SALES!$B$5:$B$2000&gt;=$B$3)*(SALES!$B$5:$B$2000&lt;=$B$4)*(SALES!$B$5:$B$2000&lt;&gt;""))*1000000,13))),"")</f>
        <v/>
      </c>
    </row>
    <row r="45">
      <c r="A45" s="16">
        <f>IF($L45="","",INDEX(SALES!$A$5:$A$2000,$L45))</f>
        <v/>
      </c>
      <c r="B45" s="19">
        <f>IF($L45="","",INDEX(SALES!$B$5:$B$2000,$L45))</f>
        <v/>
      </c>
      <c r="C45" s="16">
        <f>IF($L45="","",INDEX(SALES!$C$5:$C$2000,$L45))</f>
        <v/>
      </c>
      <c r="D45" s="16">
        <f>IF($L45="","",INDEX(SALES!$D$5:$D$2000,$L45))</f>
        <v/>
      </c>
      <c r="E45" s="16">
        <f>IF($L45="","",INDEX(SALES!$E$5:$E$2000,$L45))</f>
        <v/>
      </c>
      <c r="F45" s="20">
        <f>IF($L45="","",INDEX(SALES!$H$5:$H$2000,$L45))</f>
        <v/>
      </c>
      <c r="G45" s="17">
        <f>IF($L45="","",INDEX(SALES!$I$5:$I$2000,$L45))</f>
        <v/>
      </c>
      <c r="L45" s="18">
        <f>IFERROR(IF(SUMPRODUCT(SMALL(((SALES!$B$5:$B$2000&gt;=$B$3)*(SALES!$B$5:$B$2000&lt;=$B$4)*(SALES!$B$5:$B$2000&lt;&gt;""))*(ROW(SALES!$B$5:$B$2000)-4)+(1-(SALES!$B$5:$B$2000&gt;=$B$3)*(SALES!$B$5:$B$2000&lt;=$B$4)*(SALES!$B$5:$B$2000&lt;&gt;""))*1000000,14))&gt;=1000000,"",SUMPRODUCT(SMALL(((SALES!$B$5:$B$2000&gt;=$B$3)*(SALES!$B$5:$B$2000&lt;=$B$4)*(SALES!$B$5:$B$2000&lt;&gt;""))*(ROW(SALES!$B$5:$B$2000)-4)+(1-(SALES!$B$5:$B$2000&gt;=$B$3)*(SALES!$B$5:$B$2000&lt;=$B$4)*(SALES!$B$5:$B$2000&lt;&gt;""))*1000000,14))),"")</f>
        <v/>
      </c>
    </row>
    <row r="46">
      <c r="A46" s="16">
        <f>IF($L46="","",INDEX(SALES!$A$5:$A$2000,$L46))</f>
        <v/>
      </c>
      <c r="B46" s="19">
        <f>IF($L46="","",INDEX(SALES!$B$5:$B$2000,$L46))</f>
        <v/>
      </c>
      <c r="C46" s="16">
        <f>IF($L46="","",INDEX(SALES!$C$5:$C$2000,$L46))</f>
        <v/>
      </c>
      <c r="D46" s="16">
        <f>IF($L46="","",INDEX(SALES!$D$5:$D$2000,$L46))</f>
        <v/>
      </c>
      <c r="E46" s="16">
        <f>IF($L46="","",INDEX(SALES!$E$5:$E$2000,$L46))</f>
        <v/>
      </c>
      <c r="F46" s="20">
        <f>IF($L46="","",INDEX(SALES!$H$5:$H$2000,$L46))</f>
        <v/>
      </c>
      <c r="G46" s="17">
        <f>IF($L46="","",INDEX(SALES!$I$5:$I$2000,$L46))</f>
        <v/>
      </c>
      <c r="L46" s="18">
        <f>IFERROR(IF(SUMPRODUCT(SMALL(((SALES!$B$5:$B$2000&gt;=$B$3)*(SALES!$B$5:$B$2000&lt;=$B$4)*(SALES!$B$5:$B$2000&lt;&gt;""))*(ROW(SALES!$B$5:$B$2000)-4)+(1-(SALES!$B$5:$B$2000&gt;=$B$3)*(SALES!$B$5:$B$2000&lt;=$B$4)*(SALES!$B$5:$B$2000&lt;&gt;""))*1000000,15))&gt;=1000000,"",SUMPRODUCT(SMALL(((SALES!$B$5:$B$2000&gt;=$B$3)*(SALES!$B$5:$B$2000&lt;=$B$4)*(SALES!$B$5:$B$2000&lt;&gt;""))*(ROW(SALES!$B$5:$B$2000)-4)+(1-(SALES!$B$5:$B$2000&gt;=$B$3)*(SALES!$B$5:$B$2000&lt;=$B$4)*(SALES!$B$5:$B$2000&lt;&gt;""))*1000000,15))),"")</f>
        <v/>
      </c>
    </row>
    <row r="47">
      <c r="A47" s="4" t="inlineStr">
        <is>
          <t>Shows the first 15 matching records; use the SALES / PURCHASE sheet filters for more.</t>
        </is>
      </c>
    </row>
    <row r="49">
      <c r="A49" s="14" t="inlineStr">
        <is>
          <t>Purchases between the selected dates</t>
        </is>
      </c>
    </row>
    <row r="50">
      <c r="A50" s="15" t="inlineStr">
        <is>
          <t>Purchase No.</t>
        </is>
      </c>
      <c r="B50" s="15" t="inlineStr">
        <is>
          <t>Date</t>
        </is>
      </c>
      <c r="C50" s="15" t="inlineStr">
        <is>
          <t>Product Code</t>
        </is>
      </c>
      <c r="D50" s="15" t="inlineStr">
        <is>
          <t>Product Name</t>
        </is>
      </c>
      <c r="E50" s="15" t="inlineStr">
        <is>
          <t>Qty</t>
        </is>
      </c>
      <c r="F50" s="15" t="inlineStr">
        <is>
          <t>Total Cost</t>
        </is>
      </c>
      <c r="L50" s="18" t="inlineStr">
        <is>
          <t>helper</t>
        </is>
      </c>
    </row>
    <row r="51">
      <c r="A51" s="16">
        <f>IF($L51="","",INDEX(PURCHASE!$A$5:$A$2000,$L51))</f>
        <v/>
      </c>
      <c r="B51" s="19">
        <f>IF($L51="","",INDEX(PURCHASE!$B$5:$B$2000,$L51))</f>
        <v/>
      </c>
      <c r="C51" s="16">
        <f>IF($L51="","",INDEX(PURCHASE!$C$5:$C$2000,$L51))</f>
        <v/>
      </c>
      <c r="D51" s="16">
        <f>IF($L51="","",INDEX(PURCHASE!$D$5:$D$2000,$L51))</f>
        <v/>
      </c>
      <c r="E51" s="20">
        <f>IF($L51="","",INDEX(PURCHASE!$E$5:$E$2000,$L51))</f>
        <v/>
      </c>
      <c r="F51" s="17">
        <f>IF($L51="","",INDEX(PURCHASE!$G$5:$G$2000,$L51))</f>
        <v/>
      </c>
      <c r="L51" s="18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1000000,1)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1000000,1))),"")</f>
        <v/>
      </c>
    </row>
    <row r="52">
      <c r="A52" s="16">
        <f>IF($L52="","",INDEX(PURCHASE!$A$5:$A$2000,$L52))</f>
        <v/>
      </c>
      <c r="B52" s="19">
        <f>IF($L52="","",INDEX(PURCHASE!$B$5:$B$2000,$L52))</f>
        <v/>
      </c>
      <c r="C52" s="16">
        <f>IF($L52="","",INDEX(PURCHASE!$C$5:$C$2000,$L52))</f>
        <v/>
      </c>
      <c r="D52" s="16">
        <f>IF($L52="","",INDEX(PURCHASE!$D$5:$D$2000,$L52))</f>
        <v/>
      </c>
      <c r="E52" s="20">
        <f>IF($L52="","",INDEX(PURCHASE!$E$5:$E$2000,$L52))</f>
        <v/>
      </c>
      <c r="F52" s="17">
        <f>IF($L52="","",INDEX(PURCHASE!$G$5:$G$2000,$L52))</f>
        <v/>
      </c>
      <c r="L52" s="18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1000000,2)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1000000,2))),"")</f>
        <v/>
      </c>
    </row>
    <row r="53">
      <c r="A53" s="16">
        <f>IF($L53="","",INDEX(PURCHASE!$A$5:$A$2000,$L53))</f>
        <v/>
      </c>
      <c r="B53" s="19">
        <f>IF($L53="","",INDEX(PURCHASE!$B$5:$B$2000,$L53))</f>
        <v/>
      </c>
      <c r="C53" s="16">
        <f>IF($L53="","",INDEX(PURCHASE!$C$5:$C$2000,$L53))</f>
        <v/>
      </c>
      <c r="D53" s="16">
        <f>IF($L53="","",INDEX(PURCHASE!$D$5:$D$2000,$L53))</f>
        <v/>
      </c>
      <c r="E53" s="20">
        <f>IF($L53="","",INDEX(PURCHASE!$E$5:$E$2000,$L53))</f>
        <v/>
      </c>
      <c r="F53" s="17">
        <f>IF($L53="","",INDEX(PURCHASE!$G$5:$G$2000,$L53))</f>
        <v/>
      </c>
      <c r="L53" s="18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1000000,3)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1000000,3))),"")</f>
        <v/>
      </c>
    </row>
    <row r="54">
      <c r="A54" s="16">
        <f>IF($L54="","",INDEX(PURCHASE!$A$5:$A$2000,$L54))</f>
        <v/>
      </c>
      <c r="B54" s="19">
        <f>IF($L54="","",INDEX(PURCHASE!$B$5:$B$2000,$L54))</f>
        <v/>
      </c>
      <c r="C54" s="16">
        <f>IF($L54="","",INDEX(PURCHASE!$C$5:$C$2000,$L54))</f>
        <v/>
      </c>
      <c r="D54" s="16">
        <f>IF($L54="","",INDEX(PURCHASE!$D$5:$D$2000,$L54))</f>
        <v/>
      </c>
      <c r="E54" s="20">
        <f>IF($L54="","",INDEX(PURCHASE!$E$5:$E$2000,$L54))</f>
        <v/>
      </c>
      <c r="F54" s="17">
        <f>IF($L54="","",INDEX(PURCHASE!$G$5:$G$2000,$L54))</f>
        <v/>
      </c>
      <c r="L54" s="18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1000000,4)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1000000,4))),"")</f>
        <v/>
      </c>
    </row>
    <row r="55">
      <c r="A55" s="16">
        <f>IF($L55="","",INDEX(PURCHASE!$A$5:$A$2000,$L55))</f>
        <v/>
      </c>
      <c r="B55" s="19">
        <f>IF($L55="","",INDEX(PURCHASE!$B$5:$B$2000,$L55))</f>
        <v/>
      </c>
      <c r="C55" s="16">
        <f>IF($L55="","",INDEX(PURCHASE!$C$5:$C$2000,$L55))</f>
        <v/>
      </c>
      <c r="D55" s="16">
        <f>IF($L55="","",INDEX(PURCHASE!$D$5:$D$2000,$L55))</f>
        <v/>
      </c>
      <c r="E55" s="20">
        <f>IF($L55="","",INDEX(PURCHASE!$E$5:$E$2000,$L55))</f>
        <v/>
      </c>
      <c r="F55" s="17">
        <f>IF($L55="","",INDEX(PURCHASE!$G$5:$G$2000,$L55))</f>
        <v/>
      </c>
      <c r="L55" s="18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1000000,5)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1000000,5))),"")</f>
        <v/>
      </c>
    </row>
    <row r="56">
      <c r="A56" s="16">
        <f>IF($L56="","",INDEX(PURCHASE!$A$5:$A$2000,$L56))</f>
        <v/>
      </c>
      <c r="B56" s="19">
        <f>IF($L56="","",INDEX(PURCHASE!$B$5:$B$2000,$L56))</f>
        <v/>
      </c>
      <c r="C56" s="16">
        <f>IF($L56="","",INDEX(PURCHASE!$C$5:$C$2000,$L56))</f>
        <v/>
      </c>
      <c r="D56" s="16">
        <f>IF($L56="","",INDEX(PURCHASE!$D$5:$D$2000,$L56))</f>
        <v/>
      </c>
      <c r="E56" s="20">
        <f>IF($L56="","",INDEX(PURCHASE!$E$5:$E$2000,$L56))</f>
        <v/>
      </c>
      <c r="F56" s="17">
        <f>IF($L56="","",INDEX(PURCHASE!$G$5:$G$2000,$L56))</f>
        <v/>
      </c>
      <c r="L56" s="18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1000000,6)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1000000,6))),"")</f>
        <v/>
      </c>
    </row>
    <row r="57">
      <c r="A57" s="16">
        <f>IF($L57="","",INDEX(PURCHASE!$A$5:$A$2000,$L57))</f>
        <v/>
      </c>
      <c r="B57" s="19">
        <f>IF($L57="","",INDEX(PURCHASE!$B$5:$B$2000,$L57))</f>
        <v/>
      </c>
      <c r="C57" s="16">
        <f>IF($L57="","",INDEX(PURCHASE!$C$5:$C$2000,$L57))</f>
        <v/>
      </c>
      <c r="D57" s="16">
        <f>IF($L57="","",INDEX(PURCHASE!$D$5:$D$2000,$L57))</f>
        <v/>
      </c>
      <c r="E57" s="20">
        <f>IF($L57="","",INDEX(PURCHASE!$E$5:$E$2000,$L57))</f>
        <v/>
      </c>
      <c r="F57" s="17">
        <f>IF($L57="","",INDEX(PURCHASE!$G$5:$G$2000,$L57))</f>
        <v/>
      </c>
      <c r="L57" s="18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1000000,7)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1000000,7))),"")</f>
        <v/>
      </c>
    </row>
    <row r="58">
      <c r="A58" s="16">
        <f>IF($L58="","",INDEX(PURCHASE!$A$5:$A$2000,$L58))</f>
        <v/>
      </c>
      <c r="B58" s="19">
        <f>IF($L58="","",INDEX(PURCHASE!$B$5:$B$2000,$L58))</f>
        <v/>
      </c>
      <c r="C58" s="16">
        <f>IF($L58="","",INDEX(PURCHASE!$C$5:$C$2000,$L58))</f>
        <v/>
      </c>
      <c r="D58" s="16">
        <f>IF($L58="","",INDEX(PURCHASE!$D$5:$D$2000,$L58))</f>
        <v/>
      </c>
      <c r="E58" s="20">
        <f>IF($L58="","",INDEX(PURCHASE!$E$5:$E$2000,$L58))</f>
        <v/>
      </c>
      <c r="F58" s="17">
        <f>IF($L58="","",INDEX(PURCHASE!$G$5:$G$2000,$L58))</f>
        <v/>
      </c>
      <c r="L58" s="18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1000000,8)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1000000,8))),"")</f>
        <v/>
      </c>
    </row>
    <row r="59">
      <c r="A59" s="16">
        <f>IF($L59="","",INDEX(PURCHASE!$A$5:$A$2000,$L59))</f>
        <v/>
      </c>
      <c r="B59" s="19">
        <f>IF($L59="","",INDEX(PURCHASE!$B$5:$B$2000,$L59))</f>
        <v/>
      </c>
      <c r="C59" s="16">
        <f>IF($L59="","",INDEX(PURCHASE!$C$5:$C$2000,$L59))</f>
        <v/>
      </c>
      <c r="D59" s="16">
        <f>IF($L59="","",INDEX(PURCHASE!$D$5:$D$2000,$L59))</f>
        <v/>
      </c>
      <c r="E59" s="20">
        <f>IF($L59="","",INDEX(PURCHASE!$E$5:$E$2000,$L59))</f>
        <v/>
      </c>
      <c r="F59" s="17">
        <f>IF($L59="","",INDEX(PURCHASE!$G$5:$G$2000,$L59))</f>
        <v/>
      </c>
      <c r="L59" s="18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1000000,9)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1000000,9))),"")</f>
        <v/>
      </c>
    </row>
    <row r="60">
      <c r="A60" s="16">
        <f>IF($L60="","",INDEX(PURCHASE!$A$5:$A$2000,$L60))</f>
        <v/>
      </c>
      <c r="B60" s="19">
        <f>IF($L60="","",INDEX(PURCHASE!$B$5:$B$2000,$L60))</f>
        <v/>
      </c>
      <c r="C60" s="16">
        <f>IF($L60="","",INDEX(PURCHASE!$C$5:$C$2000,$L60))</f>
        <v/>
      </c>
      <c r="D60" s="16">
        <f>IF($L60="","",INDEX(PURCHASE!$D$5:$D$2000,$L60))</f>
        <v/>
      </c>
      <c r="E60" s="20">
        <f>IF($L60="","",INDEX(PURCHASE!$E$5:$E$2000,$L60))</f>
        <v/>
      </c>
      <c r="F60" s="17">
        <f>IF($L60="","",INDEX(PURCHASE!$G$5:$G$2000,$L60))</f>
        <v/>
      </c>
      <c r="L60" s="18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1000000,10)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1000000,10))),"")</f>
        <v/>
      </c>
    </row>
    <row r="61">
      <c r="A61" s="16">
        <f>IF($L61="","",INDEX(PURCHASE!$A$5:$A$2000,$L61))</f>
        <v/>
      </c>
      <c r="B61" s="19">
        <f>IF($L61="","",INDEX(PURCHASE!$B$5:$B$2000,$L61))</f>
        <v/>
      </c>
      <c r="C61" s="16">
        <f>IF($L61="","",INDEX(PURCHASE!$C$5:$C$2000,$L61))</f>
        <v/>
      </c>
      <c r="D61" s="16">
        <f>IF($L61="","",INDEX(PURCHASE!$D$5:$D$2000,$L61))</f>
        <v/>
      </c>
      <c r="E61" s="20">
        <f>IF($L61="","",INDEX(PURCHASE!$E$5:$E$2000,$L61))</f>
        <v/>
      </c>
      <c r="F61" s="17">
        <f>IF($L61="","",INDEX(PURCHASE!$G$5:$G$2000,$L61))</f>
        <v/>
      </c>
      <c r="L61" s="18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1000000,11)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1000000,11))),"")</f>
        <v/>
      </c>
    </row>
    <row r="62">
      <c r="A62" s="16">
        <f>IF($L62="","",INDEX(PURCHASE!$A$5:$A$2000,$L62))</f>
        <v/>
      </c>
      <c r="B62" s="19">
        <f>IF($L62="","",INDEX(PURCHASE!$B$5:$B$2000,$L62))</f>
        <v/>
      </c>
      <c r="C62" s="16">
        <f>IF($L62="","",INDEX(PURCHASE!$C$5:$C$2000,$L62))</f>
        <v/>
      </c>
      <c r="D62" s="16">
        <f>IF($L62="","",INDEX(PURCHASE!$D$5:$D$2000,$L62))</f>
        <v/>
      </c>
      <c r="E62" s="20">
        <f>IF($L62="","",INDEX(PURCHASE!$E$5:$E$2000,$L62))</f>
        <v/>
      </c>
      <c r="F62" s="17">
        <f>IF($L62="","",INDEX(PURCHASE!$G$5:$G$2000,$L62))</f>
        <v/>
      </c>
      <c r="L62" s="18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1000000,12)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1000000,12))),"")</f>
        <v/>
      </c>
    </row>
    <row r="63">
      <c r="A63" s="16">
        <f>IF($L63="","",INDEX(PURCHASE!$A$5:$A$2000,$L63))</f>
        <v/>
      </c>
      <c r="B63" s="19">
        <f>IF($L63="","",INDEX(PURCHASE!$B$5:$B$2000,$L63))</f>
        <v/>
      </c>
      <c r="C63" s="16">
        <f>IF($L63="","",INDEX(PURCHASE!$C$5:$C$2000,$L63))</f>
        <v/>
      </c>
      <c r="D63" s="16">
        <f>IF($L63="","",INDEX(PURCHASE!$D$5:$D$2000,$L63))</f>
        <v/>
      </c>
      <c r="E63" s="20">
        <f>IF($L63="","",INDEX(PURCHASE!$E$5:$E$2000,$L63))</f>
        <v/>
      </c>
      <c r="F63" s="17">
        <f>IF($L63="","",INDEX(PURCHASE!$G$5:$G$2000,$L63))</f>
        <v/>
      </c>
      <c r="L63" s="18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1000000,13)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1000000,13))),"")</f>
        <v/>
      </c>
    </row>
    <row r="64">
      <c r="A64" s="16">
        <f>IF($L64="","",INDEX(PURCHASE!$A$5:$A$2000,$L64))</f>
        <v/>
      </c>
      <c r="B64" s="19">
        <f>IF($L64="","",INDEX(PURCHASE!$B$5:$B$2000,$L64))</f>
        <v/>
      </c>
      <c r="C64" s="16">
        <f>IF($L64="","",INDEX(PURCHASE!$C$5:$C$2000,$L64))</f>
        <v/>
      </c>
      <c r="D64" s="16">
        <f>IF($L64="","",INDEX(PURCHASE!$D$5:$D$2000,$L64))</f>
        <v/>
      </c>
      <c r="E64" s="20">
        <f>IF($L64="","",INDEX(PURCHASE!$E$5:$E$2000,$L64))</f>
        <v/>
      </c>
      <c r="F64" s="17">
        <f>IF($L64="","",INDEX(PURCHASE!$G$5:$G$2000,$L64))</f>
        <v/>
      </c>
      <c r="L64" s="18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1000000,14)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1000000,14))),"")</f>
        <v/>
      </c>
    </row>
    <row r="65">
      <c r="A65" s="16">
        <f>IF($L65="","",INDEX(PURCHASE!$A$5:$A$2000,$L65))</f>
        <v/>
      </c>
      <c r="B65" s="19">
        <f>IF($L65="","",INDEX(PURCHASE!$B$5:$B$2000,$L65))</f>
        <v/>
      </c>
      <c r="C65" s="16">
        <f>IF($L65="","",INDEX(PURCHASE!$C$5:$C$2000,$L65))</f>
        <v/>
      </c>
      <c r="D65" s="16">
        <f>IF($L65="","",INDEX(PURCHASE!$D$5:$D$2000,$L65))</f>
        <v/>
      </c>
      <c r="E65" s="20">
        <f>IF($L65="","",INDEX(PURCHASE!$E$5:$E$2000,$L65))</f>
        <v/>
      </c>
      <c r="F65" s="17">
        <f>IF($L65="","",INDEX(PURCHASE!$G$5:$G$2000,$L65))</f>
        <v/>
      </c>
      <c r="L65" s="18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1000000,15)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1000000,15))),"")</f>
        <v/>
      </c>
    </row>
    <row r="66">
      <c r="A66" s="4" t="inlineStr">
        <is>
          <t>Shows the first 15 matching records; use the SALES / PURCHASE sheet filters for more.</t>
        </is>
      </c>
    </row>
  </sheetData>
  <mergeCells count="1">
    <mergeCell ref="G1:H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N3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8" customWidth="1" min="3" max="3"/>
    <col width="10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  <col width="13" customWidth="1" min="10" max="10"/>
    <col width="13" customWidth="1" min="11" max="11"/>
    <col width="20" customWidth="1" min="12" max="12"/>
    <col width="32" customWidth="1" min="13" max="13"/>
    <col width="28" customWidth="1" min="14" max="14"/>
  </cols>
  <sheetData>
    <row r="1">
      <c r="A1" s="1" t="inlineStr">
        <is>
          <t>Happy Hatch – PRODUCTS</t>
        </is>
      </c>
    </row>
    <row r="2">
      <c r="A2" s="4" t="inlineStr">
        <is>
          <t>Blue = enter / edit.  Black = automatic formula (do not overwrite).  In Stock = total PURCHASE qty − total SALES qty.  Revenue = profit per unit (Net Price − Onboard Price).</t>
        </is>
      </c>
    </row>
    <row r="3">
      <c r="A3" s="4" t="inlineStr">
        <is>
          <t>Photo File = path of the product image in the Product_Photos folder (named &lt;Product Code&gt;.jpg). Product photos float over column L: after sorting/filtering, drag a photo back onto its row. Add a new photo via Insert &gt; Pictures and size it to the row.</t>
        </is>
      </c>
    </row>
    <row r="4" ht="32" customHeight="1">
      <c r="A4" s="21" t="inlineStr">
        <is>
          <t>Product Code</t>
        </is>
      </c>
      <c r="B4" s="21" t="inlineStr">
        <is>
          <t>Product Name</t>
        </is>
      </c>
      <c r="C4" s="21" t="inlineStr">
        <is>
          <t>Specification</t>
        </is>
      </c>
      <c r="D4" s="21" t="inlineStr">
        <is>
          <t>In Stock</t>
        </is>
      </c>
      <c r="E4" s="21" t="inlineStr">
        <is>
          <t>Base Price</t>
        </is>
      </c>
      <c r="F4" s="21" t="inlineStr">
        <is>
          <t>Transit Charges</t>
        </is>
      </c>
      <c r="G4" s="21" t="inlineStr">
        <is>
          <t>Onboard Price</t>
        </is>
      </c>
      <c r="H4" s="21" t="inlineStr">
        <is>
          <t>Profitability Percentage</t>
        </is>
      </c>
      <c r="I4" s="21" t="inlineStr">
        <is>
          <t>Net Price</t>
        </is>
      </c>
      <c r="J4" s="21" t="inlineStr">
        <is>
          <t>Market Price</t>
        </is>
      </c>
      <c r="K4" s="21" t="inlineStr">
        <is>
          <t>Revenue</t>
        </is>
      </c>
      <c r="L4" s="21" t="inlineStr">
        <is>
          <t>Product Photo</t>
        </is>
      </c>
      <c r="M4" s="21" t="inlineStr">
        <is>
          <t>Photo File</t>
        </is>
      </c>
      <c r="N4" s="21" t="inlineStr">
        <is>
          <t>Remarks</t>
        </is>
      </c>
    </row>
    <row r="5" ht="80" customHeight="1">
      <c r="A5" s="22" t="inlineStr">
        <is>
          <t>HH000101</t>
        </is>
      </c>
      <c r="B5" s="22" t="inlineStr">
        <is>
          <t>Whisk-4383 Egg Beater with Wooden Handle</t>
        </is>
      </c>
      <c r="C5" s="23" t="inlineStr">
        <is>
          <t>Item ref NN88. Silicone-wire whisk, wooden handle; green / white; 12 pcs per carton</t>
        </is>
      </c>
      <c r="D5" s="24">
        <f>SUMIFS(PURCHASE!$E$5:$E$2000,PURCHASE!$C$5:$C$2000,tblProducts[[#This Row],[Product Code]])-SUMIFS(SALES!$H$5:$H$2000,SALES!$D$5:$D$2000,tblProducts[[#This Row],[Product Code]])</f>
        <v/>
      </c>
      <c r="E5" s="25" t="n">
        <v>191</v>
      </c>
      <c r="F5" s="25" t="n">
        <v>12</v>
      </c>
      <c r="G5" s="26">
        <f>tblProducts[[#This Row],[Base Price]]+tblProducts[[#This Row],[Transit Charges]]</f>
        <v/>
      </c>
      <c r="H5" s="27" t="n">
        <v>0.2</v>
      </c>
      <c r="I5" s="26">
        <f>tblProducts[[#This Row],[Onboard Price]]+tblProducts[[#This Row],[Profitability Percentage]]*tblProducts[[#This Row],[Onboard Price]]</f>
        <v/>
      </c>
      <c r="J5" s="25" t="n">
        <v>399</v>
      </c>
      <c r="K5" s="26">
        <f>tblProducts[[#This Row],[Net Price]]-tblProducts[[#This Row],[Onboard Price]]</f>
        <v/>
      </c>
      <c r="L5" s="22" t="n"/>
      <c r="M5" s="28" t="inlineStr">
        <is>
          <t>Product_Photos/HH000101.jpg</t>
        </is>
      </c>
      <c r="N5" s="22" t="n"/>
    </row>
    <row r="6" ht="80" customHeight="1">
      <c r="A6" s="22" t="inlineStr">
        <is>
          <t>HH000102</t>
        </is>
      </c>
      <c r="B6" s="22" t="inlineStr">
        <is>
          <t>Brush-1214 Silicone Brush</t>
        </is>
      </c>
      <c r="C6" s="23" t="inlineStr">
        <is>
          <t>Item ref NN95. Silicone dish brush; green / blue; 12 pcs per carton</t>
        </is>
      </c>
      <c r="D6" s="24">
        <f>SUMIFS(PURCHASE!$E$5:$E$2000,PURCHASE!$C$5:$C$2000,tblProducts[[#This Row],[Product Code]])-SUMIFS(SALES!$H$5:$H$2000,SALES!$D$5:$D$2000,tblProducts[[#This Row],[Product Code]])</f>
        <v/>
      </c>
      <c r="E6" s="25" t="n">
        <v>1108</v>
      </c>
      <c r="F6" s="25" t="n">
        <v>40</v>
      </c>
      <c r="G6" s="26">
        <f>tblProducts[[#This Row],[Base Price]]+tblProducts[[#This Row],[Transit Charges]]</f>
        <v/>
      </c>
      <c r="H6" s="27" t="n">
        <v>0.2</v>
      </c>
      <c r="I6" s="26">
        <f>tblProducts[[#This Row],[Onboard Price]]+tblProducts[[#This Row],[Profitability Percentage]]*tblProducts[[#This Row],[Onboard Price]]</f>
        <v/>
      </c>
      <c r="J6" s="25" t="n">
        <v>1999</v>
      </c>
      <c r="K6" s="26">
        <f>tblProducts[[#This Row],[Net Price]]-tblProducts[[#This Row],[Onboard Price]]</f>
        <v/>
      </c>
      <c r="L6" s="22" t="n"/>
      <c r="M6" s="28" t="inlineStr">
        <is>
          <t>Product_Photos/HH000102.jpg</t>
        </is>
      </c>
      <c r="N6" s="22" t="n"/>
    </row>
    <row r="7" ht="80" customHeight="1">
      <c r="A7" s="22" t="inlineStr">
        <is>
          <t>HH000103</t>
        </is>
      </c>
      <c r="B7" s="22" t="inlineStr">
        <is>
          <t>Scissor-5199 European-Style Stationery Scissors</t>
        </is>
      </c>
      <c r="C7" s="23" t="inlineStr">
        <is>
          <t>Item ref NN99. Stationery scissors; green / blue; 12 pcs per carton</t>
        </is>
      </c>
      <c r="D7" s="24">
        <f>SUMIFS(PURCHASE!$E$5:$E$2000,PURCHASE!$C$5:$C$2000,tblProducts[[#This Row],[Product Code]])-SUMIFS(SALES!$H$5:$H$2000,SALES!$D$5:$D$2000,tblProducts[[#This Row],[Product Code]])</f>
        <v/>
      </c>
      <c r="E7" s="25" t="n">
        <v>183</v>
      </c>
      <c r="F7" s="25" t="n">
        <v>10</v>
      </c>
      <c r="G7" s="26">
        <f>tblProducts[[#This Row],[Base Price]]+tblProducts[[#This Row],[Transit Charges]]</f>
        <v/>
      </c>
      <c r="H7" s="27" t="n">
        <v>0.2</v>
      </c>
      <c r="I7" s="26">
        <f>tblProducts[[#This Row],[Onboard Price]]+tblProducts[[#This Row],[Profitability Percentage]]*tblProducts[[#This Row],[Onboard Price]]</f>
        <v/>
      </c>
      <c r="J7" s="25" t="n">
        <v>349</v>
      </c>
      <c r="K7" s="26">
        <f>tblProducts[[#This Row],[Net Price]]-tblProducts[[#This Row],[Onboard Price]]</f>
        <v/>
      </c>
      <c r="L7" s="22" t="n"/>
      <c r="M7" s="28" t="inlineStr">
        <is>
          <t>Product_Photos/HH000103.jpg</t>
        </is>
      </c>
      <c r="N7" s="22" t="n"/>
    </row>
    <row r="8" ht="80" customHeight="1">
      <c r="A8" s="22" t="inlineStr">
        <is>
          <t>HH000104</t>
        </is>
      </c>
      <c r="B8" s="22" t="inlineStr">
        <is>
          <t>Peeler-9197 Y Shape Peeler</t>
        </is>
      </c>
      <c r="C8" s="23" t="inlineStr">
        <is>
          <t>Item ref NN82. Y-shape peeler, green handle; 12 pcs per carton</t>
        </is>
      </c>
      <c r="D8" s="24">
        <f>SUMIFS(PURCHASE!$E$5:$E$2000,PURCHASE!$C$5:$C$2000,tblProducts[[#This Row],[Product Code]])-SUMIFS(SALES!$H$5:$H$2000,SALES!$D$5:$D$2000,tblProducts[[#This Row],[Product Code]])</f>
        <v/>
      </c>
      <c r="E8" s="25" t="n">
        <v>1102</v>
      </c>
      <c r="F8" s="25" t="n">
        <v>40</v>
      </c>
      <c r="G8" s="26">
        <f>tblProducts[[#This Row],[Base Price]]+tblProducts[[#This Row],[Transit Charges]]</f>
        <v/>
      </c>
      <c r="H8" s="27" t="n">
        <v>0.2</v>
      </c>
      <c r="I8" s="26">
        <f>tblProducts[[#This Row],[Onboard Price]]+tblProducts[[#This Row],[Profitability Percentage]]*tblProducts[[#This Row],[Onboard Price]]</f>
        <v/>
      </c>
      <c r="J8" s="25" t="n">
        <v>1599</v>
      </c>
      <c r="K8" s="26">
        <f>tblProducts[[#This Row],[Net Price]]-tblProducts[[#This Row],[Onboard Price]]</f>
        <v/>
      </c>
      <c r="L8" s="22" t="n"/>
      <c r="M8" s="28" t="inlineStr">
        <is>
          <t>Product_Photos/HH000104.jpg</t>
        </is>
      </c>
      <c r="N8" s="22" t="n"/>
    </row>
    <row r="9" ht="80" customHeight="1">
      <c r="A9" s="22" t="inlineStr">
        <is>
          <t>HH000105</t>
        </is>
      </c>
      <c r="B9" s="22" t="inlineStr">
        <is>
          <t>2 Pieces Watercan Holder</t>
        </is>
      </c>
      <c r="C9" s="23" t="inlineStr">
        <is>
          <t>Item ref WCH-170 (no item no. on image). Felt carry holder for 2 bottles; carton = 170 pcs, min order 170 pcs</t>
        </is>
      </c>
      <c r="D9" s="24">
        <f>SUMIFS(PURCHASE!$E$5:$E$2000,PURCHASE!$C$5:$C$2000,tblProducts[[#This Row],[Product Code]])-SUMIFS(SALES!$H$5:$H$2000,SALES!$D$5:$D$2000,tblProducts[[#This Row],[Product Code]])</f>
        <v/>
      </c>
      <c r="E9" s="25" t="n">
        <v>38</v>
      </c>
      <c r="F9" s="25" t="n">
        <v>3</v>
      </c>
      <c r="G9" s="26">
        <f>tblProducts[[#This Row],[Base Price]]+tblProducts[[#This Row],[Transit Charges]]</f>
        <v/>
      </c>
      <c r="H9" s="27" t="n">
        <v>0.2</v>
      </c>
      <c r="I9" s="26">
        <f>tblProducts[[#This Row],[Onboard Price]]+tblProducts[[#This Row],[Profitability Percentage]]*tblProducts[[#This Row],[Onboard Price]]</f>
        <v/>
      </c>
      <c r="J9" s="25" t="n">
        <v>99</v>
      </c>
      <c r="K9" s="26">
        <f>tblProducts[[#This Row],[Net Price]]-tblProducts[[#This Row],[Onboard Price]]</f>
        <v/>
      </c>
      <c r="L9" s="22" t="n"/>
      <c r="M9" s="28" t="inlineStr">
        <is>
          <t>Product_Photos/HH000105.jpg</t>
        </is>
      </c>
      <c r="N9" s="22" t="n"/>
    </row>
    <row r="10" ht="80" customHeight="1">
      <c r="A10" s="22" t="inlineStr">
        <is>
          <t>HH000106</t>
        </is>
      </c>
      <c r="B10" s="22" t="inlineStr">
        <is>
          <t>Sports Vacuum Bottle 2 Litres</t>
        </is>
      </c>
      <c r="C10" s="23" t="inlineStr">
        <is>
          <t>Item ref VB-2L (no item no. on image). Vacuum insulated, 2 L, olive green; 25 pcs per carton</t>
        </is>
      </c>
      <c r="D10" s="24">
        <f>SUMIFS(PURCHASE!$E$5:$E$2000,PURCHASE!$C$5:$C$2000,tblProducts[[#This Row],[Product Code]])-SUMIFS(SALES!$H$5:$H$2000,SALES!$D$5:$D$2000,tblProducts[[#This Row],[Product Code]])</f>
        <v/>
      </c>
      <c r="E10" s="25" t="n">
        <v>1870</v>
      </c>
      <c r="F10" s="25" t="n">
        <v>90</v>
      </c>
      <c r="G10" s="26">
        <f>tblProducts[[#This Row],[Base Price]]+tblProducts[[#This Row],[Transit Charges]]</f>
        <v/>
      </c>
      <c r="H10" s="27" t="n">
        <v>0.2</v>
      </c>
      <c r="I10" s="26">
        <f>tblProducts[[#This Row],[Onboard Price]]+tblProducts[[#This Row],[Profitability Percentage]]*tblProducts[[#This Row],[Onboard Price]]</f>
        <v/>
      </c>
      <c r="J10" s="25" t="n">
        <v>2999</v>
      </c>
      <c r="K10" s="26">
        <f>tblProducts[[#This Row],[Net Price]]-tblProducts[[#This Row],[Onboard Price]]</f>
        <v/>
      </c>
      <c r="L10" s="22" t="n"/>
      <c r="M10" s="28" t="inlineStr">
        <is>
          <t>Product_Photos/HH000106.jpg</t>
        </is>
      </c>
      <c r="N10" s="22" t="n"/>
    </row>
    <row r="11" ht="80" customHeight="1">
      <c r="A11" s="29" t="n"/>
      <c r="B11" s="29" t="n"/>
      <c r="C11" s="30" t="n"/>
      <c r="D11" s="31" t="n"/>
      <c r="E11" s="32" t="n"/>
      <c r="F11" s="32" t="n"/>
      <c r="G11" s="33" t="n"/>
      <c r="H11" s="34" t="n"/>
      <c r="I11" s="33" t="n"/>
      <c r="J11" s="32" t="n"/>
      <c r="K11" s="33" t="n"/>
      <c r="L11" s="29" t="n"/>
      <c r="M11" s="29" t="n"/>
      <c r="N11" s="29" t="n"/>
    </row>
    <row r="12" ht="80" customHeight="1">
      <c r="A12" s="29" t="n"/>
      <c r="B12" s="29" t="n"/>
      <c r="C12" s="30" t="n"/>
      <c r="D12" s="31" t="n"/>
      <c r="E12" s="32" t="n"/>
      <c r="F12" s="32" t="n"/>
      <c r="G12" s="33" t="n"/>
      <c r="H12" s="34" t="n"/>
      <c r="I12" s="33" t="n"/>
      <c r="J12" s="32" t="n"/>
      <c r="K12" s="33" t="n"/>
      <c r="L12" s="29" t="n"/>
      <c r="M12" s="29" t="n"/>
      <c r="N12" s="29" t="n"/>
    </row>
    <row r="13" ht="80" customHeight="1">
      <c r="A13" s="29" t="n"/>
      <c r="B13" s="29" t="n"/>
      <c r="C13" s="30" t="n"/>
      <c r="D13" s="31" t="n"/>
      <c r="E13" s="32" t="n"/>
      <c r="F13" s="32" t="n"/>
      <c r="G13" s="33" t="n"/>
      <c r="H13" s="34" t="n"/>
      <c r="I13" s="33" t="n"/>
      <c r="J13" s="32" t="n"/>
      <c r="K13" s="33" t="n"/>
      <c r="L13" s="29" t="n"/>
      <c r="M13" s="29" t="n"/>
      <c r="N13" s="29" t="n"/>
    </row>
    <row r="14" ht="80" customHeight="1">
      <c r="A14" s="29" t="n"/>
      <c r="B14" s="29" t="n"/>
      <c r="C14" s="30" t="n"/>
      <c r="D14" s="31" t="n"/>
      <c r="E14" s="32" t="n"/>
      <c r="F14" s="32" t="n"/>
      <c r="G14" s="33" t="n"/>
      <c r="H14" s="34" t="n"/>
      <c r="I14" s="33" t="n"/>
      <c r="J14" s="32" t="n"/>
      <c r="K14" s="33" t="n"/>
      <c r="L14" s="29" t="n"/>
      <c r="M14" s="29" t="n"/>
      <c r="N14" s="29" t="n"/>
    </row>
    <row r="15" ht="80" customHeight="1">
      <c r="A15" s="29" t="n"/>
      <c r="B15" s="29" t="n"/>
      <c r="C15" s="30" t="n"/>
      <c r="D15" s="31" t="n"/>
      <c r="E15" s="32" t="n"/>
      <c r="F15" s="32" t="n"/>
      <c r="G15" s="33" t="n"/>
      <c r="H15" s="34" t="n"/>
      <c r="I15" s="33" t="n"/>
      <c r="J15" s="32" t="n"/>
      <c r="K15" s="33" t="n"/>
      <c r="L15" s="29" t="n"/>
      <c r="M15" s="29" t="n"/>
      <c r="N15" s="29" t="n"/>
    </row>
    <row r="16" ht="80" customHeight="1">
      <c r="A16" s="29" t="n"/>
      <c r="B16" s="29" t="n"/>
      <c r="C16" s="30" t="n"/>
      <c r="D16" s="31" t="n"/>
      <c r="E16" s="32" t="n"/>
      <c r="F16" s="32" t="n"/>
      <c r="G16" s="33" t="n"/>
      <c r="H16" s="34" t="n"/>
      <c r="I16" s="33" t="n"/>
      <c r="J16" s="32" t="n"/>
      <c r="K16" s="33" t="n"/>
      <c r="L16" s="29" t="n"/>
      <c r="M16" s="29" t="n"/>
      <c r="N16" s="29" t="n"/>
    </row>
    <row r="17" ht="80" customHeight="1">
      <c r="A17" s="29" t="n"/>
      <c r="B17" s="29" t="n"/>
      <c r="C17" s="30" t="n"/>
      <c r="D17" s="31" t="n"/>
      <c r="E17" s="32" t="n"/>
      <c r="F17" s="32" t="n"/>
      <c r="G17" s="33" t="n"/>
      <c r="H17" s="34" t="n"/>
      <c r="I17" s="33" t="n"/>
      <c r="J17" s="32" t="n"/>
      <c r="K17" s="33" t="n"/>
      <c r="L17" s="29" t="n"/>
      <c r="M17" s="29" t="n"/>
      <c r="N17" s="29" t="n"/>
    </row>
    <row r="18" ht="80" customHeight="1">
      <c r="A18" s="29" t="n"/>
      <c r="B18" s="29" t="n"/>
      <c r="C18" s="30" t="n"/>
      <c r="D18" s="31" t="n"/>
      <c r="E18" s="32" t="n"/>
      <c r="F18" s="32" t="n"/>
      <c r="G18" s="33" t="n"/>
      <c r="H18" s="34" t="n"/>
      <c r="I18" s="33" t="n"/>
      <c r="J18" s="32" t="n"/>
      <c r="K18" s="33" t="n"/>
      <c r="L18" s="29" t="n"/>
      <c r="M18" s="29" t="n"/>
      <c r="N18" s="29" t="n"/>
    </row>
    <row r="19" ht="80" customHeight="1">
      <c r="A19" s="29" t="n"/>
      <c r="B19" s="29" t="n"/>
      <c r="C19" s="30" t="n"/>
      <c r="D19" s="31" t="n"/>
      <c r="E19" s="32" t="n"/>
      <c r="F19" s="32" t="n"/>
      <c r="G19" s="33" t="n"/>
      <c r="H19" s="34" t="n"/>
      <c r="I19" s="33" t="n"/>
      <c r="J19" s="32" t="n"/>
      <c r="K19" s="33" t="n"/>
      <c r="L19" s="29" t="n"/>
      <c r="M19" s="29" t="n"/>
      <c r="N19" s="29" t="n"/>
    </row>
    <row r="20" ht="80" customHeight="1">
      <c r="A20" s="29" t="n"/>
      <c r="B20" s="29" t="n"/>
      <c r="C20" s="30" t="n"/>
      <c r="D20" s="31" t="n"/>
      <c r="E20" s="32" t="n"/>
      <c r="F20" s="32" t="n"/>
      <c r="G20" s="33" t="n"/>
      <c r="H20" s="34" t="n"/>
      <c r="I20" s="33" t="n"/>
      <c r="J20" s="32" t="n"/>
      <c r="K20" s="33" t="n"/>
      <c r="L20" s="29" t="n"/>
      <c r="M20" s="29" t="n"/>
      <c r="N20" s="29" t="n"/>
    </row>
    <row r="21" ht="80" customHeight="1">
      <c r="A21" s="29" t="n"/>
      <c r="B21" s="29" t="n"/>
      <c r="C21" s="30" t="n"/>
      <c r="D21" s="31" t="n"/>
      <c r="E21" s="32" t="n"/>
      <c r="F21" s="32" t="n"/>
      <c r="G21" s="33" t="n"/>
      <c r="H21" s="34" t="n"/>
      <c r="I21" s="33" t="n"/>
      <c r="J21" s="32" t="n"/>
      <c r="K21" s="33" t="n"/>
      <c r="L21" s="29" t="n"/>
      <c r="M21" s="29" t="n"/>
      <c r="N21" s="29" t="n"/>
    </row>
    <row r="22" ht="80" customHeight="1">
      <c r="A22" s="29" t="n"/>
      <c r="B22" s="29" t="n"/>
      <c r="C22" s="30" t="n"/>
      <c r="D22" s="31" t="n"/>
      <c r="E22" s="32" t="n"/>
      <c r="F22" s="32" t="n"/>
      <c r="G22" s="33" t="n"/>
      <c r="H22" s="34" t="n"/>
      <c r="I22" s="33" t="n"/>
      <c r="J22" s="32" t="n"/>
      <c r="K22" s="33" t="n"/>
      <c r="L22" s="29" t="n"/>
      <c r="M22" s="29" t="n"/>
      <c r="N22" s="29" t="n"/>
    </row>
    <row r="23" ht="80" customHeight="1">
      <c r="A23" s="29" t="n"/>
      <c r="B23" s="29" t="n"/>
      <c r="C23" s="30" t="n"/>
      <c r="D23" s="31" t="n"/>
      <c r="E23" s="32" t="n"/>
      <c r="F23" s="32" t="n"/>
      <c r="G23" s="33" t="n"/>
      <c r="H23" s="34" t="n"/>
      <c r="I23" s="33" t="n"/>
      <c r="J23" s="32" t="n"/>
      <c r="K23" s="33" t="n"/>
      <c r="L23" s="29" t="n"/>
      <c r="M23" s="29" t="n"/>
      <c r="N23" s="29" t="n"/>
    </row>
    <row r="24" ht="80" customHeight="1">
      <c r="A24" s="29" t="n"/>
      <c r="B24" s="29" t="n"/>
      <c r="C24" s="30" t="n"/>
      <c r="D24" s="31" t="n"/>
      <c r="E24" s="32" t="n"/>
      <c r="F24" s="32" t="n"/>
      <c r="G24" s="33" t="n"/>
      <c r="H24" s="34" t="n"/>
      <c r="I24" s="33" t="n"/>
      <c r="J24" s="32" t="n"/>
      <c r="K24" s="33" t="n"/>
      <c r="L24" s="29" t="n"/>
      <c r="M24" s="29" t="n"/>
      <c r="N24" s="29" t="n"/>
    </row>
    <row r="25" ht="80" customHeight="1">
      <c r="A25" s="29" t="n"/>
      <c r="B25" s="29" t="n"/>
      <c r="C25" s="30" t="n"/>
      <c r="D25" s="31" t="n"/>
      <c r="E25" s="32" t="n"/>
      <c r="F25" s="32" t="n"/>
      <c r="G25" s="33" t="n"/>
      <c r="H25" s="34" t="n"/>
      <c r="I25" s="33" t="n"/>
      <c r="J25" s="32" t="n"/>
      <c r="K25" s="33" t="n"/>
      <c r="L25" s="29" t="n"/>
      <c r="M25" s="29" t="n"/>
      <c r="N25" s="29" t="n"/>
    </row>
    <row r="26" ht="80" customHeight="1">
      <c r="A26" s="29" t="n"/>
      <c r="B26" s="29" t="n"/>
      <c r="C26" s="30" t="n"/>
      <c r="D26" s="31" t="n"/>
      <c r="E26" s="32" t="n"/>
      <c r="F26" s="32" t="n"/>
      <c r="G26" s="33" t="n"/>
      <c r="H26" s="34" t="n"/>
      <c r="I26" s="33" t="n"/>
      <c r="J26" s="32" t="n"/>
      <c r="K26" s="33" t="n"/>
      <c r="L26" s="29" t="n"/>
      <c r="M26" s="29" t="n"/>
      <c r="N26" s="29" t="n"/>
    </row>
    <row r="27" ht="80" customHeight="1">
      <c r="A27" s="29" t="n"/>
      <c r="B27" s="29" t="n"/>
      <c r="C27" s="30" t="n"/>
      <c r="D27" s="31" t="n"/>
      <c r="E27" s="32" t="n"/>
      <c r="F27" s="32" t="n"/>
      <c r="G27" s="33" t="n"/>
      <c r="H27" s="34" t="n"/>
      <c r="I27" s="33" t="n"/>
      <c r="J27" s="32" t="n"/>
      <c r="K27" s="33" t="n"/>
      <c r="L27" s="29" t="n"/>
      <c r="M27" s="29" t="n"/>
      <c r="N27" s="29" t="n"/>
    </row>
    <row r="28" ht="80" customHeight="1">
      <c r="A28" s="29" t="n"/>
      <c r="B28" s="29" t="n"/>
      <c r="C28" s="30" t="n"/>
      <c r="D28" s="31" t="n"/>
      <c r="E28" s="32" t="n"/>
      <c r="F28" s="32" t="n"/>
      <c r="G28" s="33" t="n"/>
      <c r="H28" s="34" t="n"/>
      <c r="I28" s="33" t="n"/>
      <c r="J28" s="32" t="n"/>
      <c r="K28" s="33" t="n"/>
      <c r="L28" s="29" t="n"/>
      <c r="M28" s="29" t="n"/>
      <c r="N28" s="29" t="n"/>
    </row>
    <row r="29" ht="80" customHeight="1">
      <c r="A29" s="29" t="n"/>
      <c r="B29" s="29" t="n"/>
      <c r="C29" s="30" t="n"/>
      <c r="D29" s="31" t="n"/>
      <c r="E29" s="32" t="n"/>
      <c r="F29" s="32" t="n"/>
      <c r="G29" s="33" t="n"/>
      <c r="H29" s="34" t="n"/>
      <c r="I29" s="33" t="n"/>
      <c r="J29" s="32" t="n"/>
      <c r="K29" s="33" t="n"/>
      <c r="L29" s="29" t="n"/>
      <c r="M29" s="29" t="n"/>
      <c r="N29" s="29" t="n"/>
    </row>
    <row r="30" ht="80" customHeight="1">
      <c r="A30" s="29" t="n"/>
      <c r="B30" s="29" t="n"/>
      <c r="C30" s="30" t="n"/>
      <c r="D30" s="31" t="n"/>
      <c r="E30" s="32" t="n"/>
      <c r="F30" s="32" t="n"/>
      <c r="G30" s="33" t="n"/>
      <c r="H30" s="34" t="n"/>
      <c r="I30" s="33" t="n"/>
      <c r="J30" s="32" t="n"/>
      <c r="K30" s="33" t="n"/>
      <c r="L30" s="29" t="n"/>
      <c r="M30" s="29" t="n"/>
      <c r="N30" s="29" t="n"/>
    </row>
    <row r="31" ht="80" customHeight="1">
      <c r="A31" s="29" t="n"/>
      <c r="B31" s="29" t="n"/>
      <c r="C31" s="30" t="n"/>
      <c r="D31" s="31" t="n"/>
      <c r="E31" s="32" t="n"/>
      <c r="F31" s="32" t="n"/>
      <c r="G31" s="33" t="n"/>
      <c r="H31" s="34" t="n"/>
      <c r="I31" s="33" t="n"/>
      <c r="J31" s="32" t="n"/>
      <c r="K31" s="33" t="n"/>
      <c r="L31" s="29" t="n"/>
      <c r="M31" s="29" t="n"/>
      <c r="N31" s="29" t="n"/>
    </row>
    <row r="32" ht="80" customHeight="1">
      <c r="A32" s="29" t="n"/>
      <c r="B32" s="29" t="n"/>
      <c r="C32" s="30" t="n"/>
      <c r="D32" s="31" t="n"/>
      <c r="E32" s="32" t="n"/>
      <c r="F32" s="32" t="n"/>
      <c r="G32" s="33" t="n"/>
      <c r="H32" s="34" t="n"/>
      <c r="I32" s="33" t="n"/>
      <c r="J32" s="32" t="n"/>
      <c r="K32" s="33" t="n"/>
      <c r="L32" s="29" t="n"/>
      <c r="M32" s="29" t="n"/>
      <c r="N32" s="29" t="n"/>
    </row>
    <row r="33" ht="80" customHeight="1">
      <c r="A33" s="29" t="n"/>
      <c r="B33" s="29" t="n"/>
      <c r="C33" s="30" t="n"/>
      <c r="D33" s="31" t="n"/>
      <c r="E33" s="32" t="n"/>
      <c r="F33" s="32" t="n"/>
      <c r="G33" s="33" t="n"/>
      <c r="H33" s="34" t="n"/>
      <c r="I33" s="33" t="n"/>
      <c r="J33" s="32" t="n"/>
      <c r="K33" s="33" t="n"/>
      <c r="L33" s="29" t="n"/>
      <c r="M33" s="29" t="n"/>
      <c r="N33" s="29" t="n"/>
    </row>
    <row r="34" ht="80" customHeight="1">
      <c r="A34" s="29" t="n"/>
      <c r="B34" s="29" t="n"/>
      <c r="C34" s="30" t="n"/>
      <c r="D34" s="31" t="n"/>
      <c r="E34" s="32" t="n"/>
      <c r="F34" s="32" t="n"/>
      <c r="G34" s="33" t="n"/>
      <c r="H34" s="34" t="n"/>
      <c r="I34" s="33" t="n"/>
      <c r="J34" s="32" t="n"/>
      <c r="K34" s="33" t="n"/>
      <c r="L34" s="29" t="n"/>
      <c r="M34" s="29" t="n"/>
      <c r="N34" s="29" t="n"/>
    </row>
    <row r="35" ht="80" customHeight="1">
      <c r="A35" s="29" t="n"/>
      <c r="B35" s="29" t="n"/>
      <c r="C35" s="30" t="n"/>
      <c r="D35" s="31" t="n"/>
      <c r="E35" s="32" t="n"/>
      <c r="F35" s="32" t="n"/>
      <c r="G35" s="33" t="n"/>
      <c r="H35" s="34" t="n"/>
      <c r="I35" s="33" t="n"/>
      <c r="J35" s="32" t="n"/>
      <c r="K35" s="33" t="n"/>
      <c r="L35" s="29" t="n"/>
      <c r="M35" s="29" t="n"/>
      <c r="N35" s="29" t="n"/>
    </row>
    <row r="36" ht="80" customHeight="1">
      <c r="A36" s="29" t="n"/>
      <c r="B36" s="29" t="n"/>
      <c r="C36" s="30" t="n"/>
      <c r="D36" s="31" t="n"/>
      <c r="E36" s="32" t="n"/>
      <c r="F36" s="32" t="n"/>
      <c r="G36" s="33" t="n"/>
      <c r="H36" s="34" t="n"/>
      <c r="I36" s="33" t="n"/>
      <c r="J36" s="32" t="n"/>
      <c r="K36" s="33" t="n"/>
      <c r="L36" s="29" t="n"/>
      <c r="M36" s="29" t="n"/>
      <c r="N36" s="29" t="n"/>
    </row>
    <row r="37" ht="80" customHeight="1">
      <c r="A37" s="29" t="n"/>
      <c r="B37" s="29" t="n"/>
      <c r="C37" s="30" t="n"/>
      <c r="D37" s="31" t="n"/>
      <c r="E37" s="32" t="n"/>
      <c r="F37" s="32" t="n"/>
      <c r="G37" s="33" t="n"/>
      <c r="H37" s="34" t="n"/>
      <c r="I37" s="33" t="n"/>
      <c r="J37" s="32" t="n"/>
      <c r="K37" s="33" t="n"/>
      <c r="L37" s="29" t="n"/>
      <c r="M37" s="29" t="n"/>
      <c r="N37" s="29" t="n"/>
    </row>
    <row r="38" ht="80" customHeight="1">
      <c r="A38" s="29" t="n"/>
      <c r="B38" s="29" t="n"/>
      <c r="C38" s="30" t="n"/>
      <c r="D38" s="31" t="n"/>
      <c r="E38" s="32" t="n"/>
      <c r="F38" s="32" t="n"/>
      <c r="G38" s="33" t="n"/>
      <c r="H38" s="34" t="n"/>
      <c r="I38" s="33" t="n"/>
      <c r="J38" s="32" t="n"/>
      <c r="K38" s="33" t="n"/>
      <c r="L38" s="29" t="n"/>
      <c r="M38" s="29" t="n"/>
      <c r="N38" s="29" t="n"/>
    </row>
    <row r="39" ht="80" customHeight="1">
      <c r="A39" s="29" t="n"/>
      <c r="B39" s="29" t="n"/>
      <c r="C39" s="30" t="n"/>
      <c r="D39" s="31" t="n"/>
      <c r="E39" s="32" t="n"/>
      <c r="F39" s="32" t="n"/>
      <c r="G39" s="33" t="n"/>
      <c r="H39" s="34" t="n"/>
      <c r="I39" s="33" t="n"/>
      <c r="J39" s="32" t="n"/>
      <c r="K39" s="33" t="n"/>
      <c r="L39" s="29" t="n"/>
      <c r="M39" s="29" t="n"/>
      <c r="N39" s="29" t="n"/>
    </row>
    <row r="40" ht="80" customHeight="1">
      <c r="A40" s="29" t="n"/>
      <c r="B40" s="29" t="n"/>
      <c r="C40" s="30" t="n"/>
      <c r="D40" s="31" t="n"/>
      <c r="E40" s="32" t="n"/>
      <c r="F40" s="32" t="n"/>
      <c r="G40" s="33" t="n"/>
      <c r="H40" s="34" t="n"/>
      <c r="I40" s="33" t="n"/>
      <c r="J40" s="32" t="n"/>
      <c r="K40" s="33" t="n"/>
      <c r="L40" s="29" t="n"/>
      <c r="M40" s="29" t="n"/>
      <c r="N40" s="29" t="n"/>
    </row>
    <row r="41" ht="80" customHeight="1">
      <c r="A41" s="29" t="n"/>
      <c r="B41" s="29" t="n"/>
      <c r="C41" s="30" t="n"/>
      <c r="D41" s="31" t="n"/>
      <c r="E41" s="32" t="n"/>
      <c r="F41" s="32" t="n"/>
      <c r="G41" s="33" t="n"/>
      <c r="H41" s="34" t="n"/>
      <c r="I41" s="33" t="n"/>
      <c r="J41" s="32" t="n"/>
      <c r="K41" s="33" t="n"/>
      <c r="L41" s="29" t="n"/>
      <c r="M41" s="29" t="n"/>
      <c r="N41" s="29" t="n"/>
    </row>
    <row r="42" ht="80" customHeight="1">
      <c r="A42" s="29" t="n"/>
      <c r="B42" s="29" t="n"/>
      <c r="C42" s="30" t="n"/>
      <c r="D42" s="31" t="n"/>
      <c r="E42" s="32" t="n"/>
      <c r="F42" s="32" t="n"/>
      <c r="G42" s="33" t="n"/>
      <c r="H42" s="34" t="n"/>
      <c r="I42" s="33" t="n"/>
      <c r="J42" s="32" t="n"/>
      <c r="K42" s="33" t="n"/>
      <c r="L42" s="29" t="n"/>
      <c r="M42" s="29" t="n"/>
      <c r="N42" s="29" t="n"/>
    </row>
    <row r="43" ht="80" customHeight="1">
      <c r="A43" s="29" t="n"/>
      <c r="B43" s="29" t="n"/>
      <c r="C43" s="30" t="n"/>
      <c r="D43" s="31" t="n"/>
      <c r="E43" s="32" t="n"/>
      <c r="F43" s="32" t="n"/>
      <c r="G43" s="33" t="n"/>
      <c r="H43" s="34" t="n"/>
      <c r="I43" s="33" t="n"/>
      <c r="J43" s="32" t="n"/>
      <c r="K43" s="33" t="n"/>
      <c r="L43" s="29" t="n"/>
      <c r="M43" s="29" t="n"/>
      <c r="N43" s="29" t="n"/>
    </row>
    <row r="44" ht="80" customHeight="1">
      <c r="A44" s="29" t="n"/>
      <c r="B44" s="29" t="n"/>
      <c r="C44" s="30" t="n"/>
      <c r="D44" s="31" t="n"/>
      <c r="E44" s="32" t="n"/>
      <c r="F44" s="32" t="n"/>
      <c r="G44" s="33" t="n"/>
      <c r="H44" s="34" t="n"/>
      <c r="I44" s="33" t="n"/>
      <c r="J44" s="32" t="n"/>
      <c r="K44" s="33" t="n"/>
      <c r="L44" s="29" t="n"/>
      <c r="M44" s="29" t="n"/>
      <c r="N44" s="29" t="n"/>
    </row>
    <row r="45" ht="80" customHeight="1">
      <c r="A45" s="29" t="n"/>
      <c r="B45" s="29" t="n"/>
      <c r="C45" s="30" t="n"/>
      <c r="D45" s="31" t="n"/>
      <c r="E45" s="32" t="n"/>
      <c r="F45" s="32" t="n"/>
      <c r="G45" s="33" t="n"/>
      <c r="H45" s="34" t="n"/>
      <c r="I45" s="33" t="n"/>
      <c r="J45" s="32" t="n"/>
      <c r="K45" s="33" t="n"/>
      <c r="L45" s="29" t="n"/>
      <c r="M45" s="29" t="n"/>
      <c r="N45" s="29" t="n"/>
    </row>
    <row r="46" ht="80" customHeight="1">
      <c r="A46" s="29" t="n"/>
      <c r="B46" s="29" t="n"/>
      <c r="C46" s="30" t="n"/>
      <c r="D46" s="31" t="n"/>
      <c r="E46" s="32" t="n"/>
      <c r="F46" s="32" t="n"/>
      <c r="G46" s="33" t="n"/>
      <c r="H46" s="34" t="n"/>
      <c r="I46" s="33" t="n"/>
      <c r="J46" s="32" t="n"/>
      <c r="K46" s="33" t="n"/>
      <c r="L46" s="29" t="n"/>
      <c r="M46" s="29" t="n"/>
      <c r="N46" s="29" t="n"/>
    </row>
    <row r="47" ht="80" customHeight="1">
      <c r="A47" s="29" t="n"/>
      <c r="B47" s="29" t="n"/>
      <c r="C47" s="30" t="n"/>
      <c r="D47" s="31" t="n"/>
      <c r="E47" s="32" t="n"/>
      <c r="F47" s="32" t="n"/>
      <c r="G47" s="33" t="n"/>
      <c r="H47" s="34" t="n"/>
      <c r="I47" s="33" t="n"/>
      <c r="J47" s="32" t="n"/>
      <c r="K47" s="33" t="n"/>
      <c r="L47" s="29" t="n"/>
      <c r="M47" s="29" t="n"/>
      <c r="N47" s="29" t="n"/>
    </row>
    <row r="48" ht="80" customHeight="1">
      <c r="A48" s="29" t="n"/>
      <c r="B48" s="29" t="n"/>
      <c r="C48" s="30" t="n"/>
      <c r="D48" s="31" t="n"/>
      <c r="E48" s="32" t="n"/>
      <c r="F48" s="32" t="n"/>
      <c r="G48" s="33" t="n"/>
      <c r="H48" s="34" t="n"/>
      <c r="I48" s="33" t="n"/>
      <c r="J48" s="32" t="n"/>
      <c r="K48" s="33" t="n"/>
      <c r="L48" s="29" t="n"/>
      <c r="M48" s="29" t="n"/>
      <c r="N48" s="29" t="n"/>
    </row>
    <row r="49" ht="80" customHeight="1">
      <c r="A49" s="29" t="n"/>
      <c r="B49" s="29" t="n"/>
      <c r="C49" s="30" t="n"/>
      <c r="D49" s="31" t="n"/>
      <c r="E49" s="32" t="n"/>
      <c r="F49" s="32" t="n"/>
      <c r="G49" s="33" t="n"/>
      <c r="H49" s="34" t="n"/>
      <c r="I49" s="33" t="n"/>
      <c r="J49" s="32" t="n"/>
      <c r="K49" s="33" t="n"/>
      <c r="L49" s="29" t="n"/>
      <c r="M49" s="29" t="n"/>
      <c r="N49" s="29" t="n"/>
    </row>
    <row r="50" ht="80" customHeight="1">
      <c r="A50" s="29" t="n"/>
      <c r="B50" s="29" t="n"/>
      <c r="C50" s="30" t="n"/>
      <c r="D50" s="31" t="n"/>
      <c r="E50" s="32" t="n"/>
      <c r="F50" s="32" t="n"/>
      <c r="G50" s="33" t="n"/>
      <c r="H50" s="34" t="n"/>
      <c r="I50" s="33" t="n"/>
      <c r="J50" s="32" t="n"/>
      <c r="K50" s="33" t="n"/>
      <c r="L50" s="29" t="n"/>
      <c r="M50" s="29" t="n"/>
      <c r="N50" s="29" t="n"/>
    </row>
    <row r="51" ht="80" customHeight="1">
      <c r="A51" s="29" t="n"/>
      <c r="B51" s="29" t="n"/>
      <c r="C51" s="30" t="n"/>
      <c r="D51" s="31" t="n"/>
      <c r="E51" s="32" t="n"/>
      <c r="F51" s="32" t="n"/>
      <c r="G51" s="33" t="n"/>
      <c r="H51" s="34" t="n"/>
      <c r="I51" s="33" t="n"/>
      <c r="J51" s="32" t="n"/>
      <c r="K51" s="33" t="n"/>
      <c r="L51" s="29" t="n"/>
      <c r="M51" s="29" t="n"/>
      <c r="N51" s="29" t="n"/>
    </row>
    <row r="52" ht="80" customHeight="1">
      <c r="A52" s="29" t="n"/>
      <c r="B52" s="29" t="n"/>
      <c r="C52" s="30" t="n"/>
      <c r="D52" s="31" t="n"/>
      <c r="E52" s="32" t="n"/>
      <c r="F52" s="32" t="n"/>
      <c r="G52" s="33" t="n"/>
      <c r="H52" s="34" t="n"/>
      <c r="I52" s="33" t="n"/>
      <c r="J52" s="32" t="n"/>
      <c r="K52" s="33" t="n"/>
      <c r="L52" s="29" t="n"/>
      <c r="M52" s="29" t="n"/>
      <c r="N52" s="29" t="n"/>
    </row>
    <row r="53" ht="80" customHeight="1">
      <c r="A53" s="29" t="n"/>
      <c r="B53" s="29" t="n"/>
      <c r="C53" s="30" t="n"/>
      <c r="D53" s="31" t="n"/>
      <c r="E53" s="32" t="n"/>
      <c r="F53" s="32" t="n"/>
      <c r="G53" s="33" t="n"/>
      <c r="H53" s="34" t="n"/>
      <c r="I53" s="33" t="n"/>
      <c r="J53" s="32" t="n"/>
      <c r="K53" s="33" t="n"/>
      <c r="L53" s="29" t="n"/>
      <c r="M53" s="29" t="n"/>
      <c r="N53" s="29" t="n"/>
    </row>
    <row r="54" ht="80" customHeight="1">
      <c r="A54" s="29" t="n"/>
      <c r="B54" s="29" t="n"/>
      <c r="C54" s="30" t="n"/>
      <c r="D54" s="31" t="n"/>
      <c r="E54" s="32" t="n"/>
      <c r="F54" s="32" t="n"/>
      <c r="G54" s="33" t="n"/>
      <c r="H54" s="34" t="n"/>
      <c r="I54" s="33" t="n"/>
      <c r="J54" s="32" t="n"/>
      <c r="K54" s="33" t="n"/>
      <c r="L54" s="29" t="n"/>
      <c r="M54" s="29" t="n"/>
      <c r="N54" s="29" t="n"/>
    </row>
    <row r="55" ht="80" customHeight="1">
      <c r="A55" s="29" t="n"/>
      <c r="B55" s="29" t="n"/>
      <c r="C55" s="30" t="n"/>
      <c r="D55" s="31" t="n"/>
      <c r="E55" s="32" t="n"/>
      <c r="F55" s="32" t="n"/>
      <c r="G55" s="33" t="n"/>
      <c r="H55" s="34" t="n"/>
      <c r="I55" s="33" t="n"/>
      <c r="J55" s="32" t="n"/>
      <c r="K55" s="33" t="n"/>
      <c r="L55" s="29" t="n"/>
      <c r="M55" s="29" t="n"/>
      <c r="N55" s="29" t="n"/>
    </row>
    <row r="56" ht="80" customHeight="1">
      <c r="A56" s="29" t="n"/>
      <c r="B56" s="29" t="n"/>
      <c r="C56" s="30" t="n"/>
      <c r="D56" s="31" t="n"/>
      <c r="E56" s="32" t="n"/>
      <c r="F56" s="32" t="n"/>
      <c r="G56" s="33" t="n"/>
      <c r="H56" s="34" t="n"/>
      <c r="I56" s="33" t="n"/>
      <c r="J56" s="32" t="n"/>
      <c r="K56" s="33" t="n"/>
      <c r="L56" s="29" t="n"/>
      <c r="M56" s="29" t="n"/>
      <c r="N56" s="29" t="n"/>
    </row>
    <row r="57" ht="80" customHeight="1">
      <c r="A57" s="29" t="n"/>
      <c r="B57" s="29" t="n"/>
      <c r="C57" s="30" t="n"/>
      <c r="D57" s="31" t="n"/>
      <c r="E57" s="32" t="n"/>
      <c r="F57" s="32" t="n"/>
      <c r="G57" s="33" t="n"/>
      <c r="H57" s="34" t="n"/>
      <c r="I57" s="33" t="n"/>
      <c r="J57" s="32" t="n"/>
      <c r="K57" s="33" t="n"/>
      <c r="L57" s="29" t="n"/>
      <c r="M57" s="29" t="n"/>
      <c r="N57" s="29" t="n"/>
    </row>
    <row r="58" ht="80" customHeight="1">
      <c r="A58" s="29" t="n"/>
      <c r="B58" s="29" t="n"/>
      <c r="C58" s="30" t="n"/>
      <c r="D58" s="31" t="n"/>
      <c r="E58" s="32" t="n"/>
      <c r="F58" s="32" t="n"/>
      <c r="G58" s="33" t="n"/>
      <c r="H58" s="34" t="n"/>
      <c r="I58" s="33" t="n"/>
      <c r="J58" s="32" t="n"/>
      <c r="K58" s="33" t="n"/>
      <c r="L58" s="29" t="n"/>
      <c r="M58" s="29" t="n"/>
      <c r="N58" s="29" t="n"/>
    </row>
    <row r="59" ht="80" customHeight="1">
      <c r="A59" s="29" t="n"/>
      <c r="B59" s="29" t="n"/>
      <c r="C59" s="30" t="n"/>
      <c r="D59" s="31" t="n"/>
      <c r="E59" s="32" t="n"/>
      <c r="F59" s="32" t="n"/>
      <c r="G59" s="33" t="n"/>
      <c r="H59" s="34" t="n"/>
      <c r="I59" s="33" t="n"/>
      <c r="J59" s="32" t="n"/>
      <c r="K59" s="33" t="n"/>
      <c r="L59" s="29" t="n"/>
      <c r="M59" s="29" t="n"/>
      <c r="N59" s="29" t="n"/>
    </row>
    <row r="60" ht="80" customHeight="1">
      <c r="A60" s="29" t="n"/>
      <c r="B60" s="29" t="n"/>
      <c r="C60" s="30" t="n"/>
      <c r="D60" s="31" t="n"/>
      <c r="E60" s="32" t="n"/>
      <c r="F60" s="32" t="n"/>
      <c r="G60" s="33" t="n"/>
      <c r="H60" s="34" t="n"/>
      <c r="I60" s="33" t="n"/>
      <c r="J60" s="32" t="n"/>
      <c r="K60" s="33" t="n"/>
      <c r="L60" s="29" t="n"/>
      <c r="M60" s="29" t="n"/>
      <c r="N60" s="29" t="n"/>
    </row>
    <row r="61" ht="80" customHeight="1">
      <c r="A61" s="29" t="n"/>
      <c r="B61" s="29" t="n"/>
      <c r="C61" s="30" t="n"/>
      <c r="D61" s="31" t="n"/>
      <c r="E61" s="32" t="n"/>
      <c r="F61" s="32" t="n"/>
      <c r="G61" s="33" t="n"/>
      <c r="H61" s="34" t="n"/>
      <c r="I61" s="33" t="n"/>
      <c r="J61" s="32" t="n"/>
      <c r="K61" s="33" t="n"/>
      <c r="L61" s="29" t="n"/>
      <c r="M61" s="29" t="n"/>
      <c r="N61" s="29" t="n"/>
    </row>
    <row r="62" ht="80" customHeight="1">
      <c r="A62" s="29" t="n"/>
      <c r="B62" s="29" t="n"/>
      <c r="C62" s="30" t="n"/>
      <c r="D62" s="31" t="n"/>
      <c r="E62" s="32" t="n"/>
      <c r="F62" s="32" t="n"/>
      <c r="G62" s="33" t="n"/>
      <c r="H62" s="34" t="n"/>
      <c r="I62" s="33" t="n"/>
      <c r="J62" s="32" t="n"/>
      <c r="K62" s="33" t="n"/>
      <c r="L62" s="29" t="n"/>
      <c r="M62" s="29" t="n"/>
      <c r="N62" s="29" t="n"/>
    </row>
    <row r="63" ht="80" customHeight="1">
      <c r="A63" s="29" t="n"/>
      <c r="B63" s="29" t="n"/>
      <c r="C63" s="30" t="n"/>
      <c r="D63" s="31" t="n"/>
      <c r="E63" s="32" t="n"/>
      <c r="F63" s="32" t="n"/>
      <c r="G63" s="33" t="n"/>
      <c r="H63" s="34" t="n"/>
      <c r="I63" s="33" t="n"/>
      <c r="J63" s="32" t="n"/>
      <c r="K63" s="33" t="n"/>
      <c r="L63" s="29" t="n"/>
      <c r="M63" s="29" t="n"/>
      <c r="N63" s="29" t="n"/>
    </row>
    <row r="64" ht="80" customHeight="1">
      <c r="A64" s="29" t="n"/>
      <c r="B64" s="29" t="n"/>
      <c r="C64" s="30" t="n"/>
      <c r="D64" s="31" t="n"/>
      <c r="E64" s="32" t="n"/>
      <c r="F64" s="32" t="n"/>
      <c r="G64" s="33" t="n"/>
      <c r="H64" s="34" t="n"/>
      <c r="I64" s="33" t="n"/>
      <c r="J64" s="32" t="n"/>
      <c r="K64" s="33" t="n"/>
      <c r="L64" s="29" t="n"/>
      <c r="M64" s="29" t="n"/>
      <c r="N64" s="29" t="n"/>
    </row>
    <row r="65" ht="80" customHeight="1">
      <c r="A65" s="29" t="n"/>
      <c r="B65" s="29" t="n"/>
      <c r="C65" s="30" t="n"/>
      <c r="D65" s="31" t="n"/>
      <c r="E65" s="32" t="n"/>
      <c r="F65" s="32" t="n"/>
      <c r="G65" s="33" t="n"/>
      <c r="H65" s="34" t="n"/>
      <c r="I65" s="33" t="n"/>
      <c r="J65" s="32" t="n"/>
      <c r="K65" s="33" t="n"/>
      <c r="L65" s="29" t="n"/>
      <c r="M65" s="29" t="n"/>
      <c r="N65" s="29" t="n"/>
    </row>
    <row r="66" ht="80" customHeight="1">
      <c r="A66" s="29" t="n"/>
      <c r="B66" s="29" t="n"/>
      <c r="C66" s="30" t="n"/>
      <c r="D66" s="31" t="n"/>
      <c r="E66" s="32" t="n"/>
      <c r="F66" s="32" t="n"/>
      <c r="G66" s="33" t="n"/>
      <c r="H66" s="34" t="n"/>
      <c r="I66" s="33" t="n"/>
      <c r="J66" s="32" t="n"/>
      <c r="K66" s="33" t="n"/>
      <c r="L66" s="29" t="n"/>
      <c r="M66" s="29" t="n"/>
      <c r="N66" s="29" t="n"/>
    </row>
    <row r="67" ht="80" customHeight="1">
      <c r="A67" s="29" t="n"/>
      <c r="B67" s="29" t="n"/>
      <c r="C67" s="30" t="n"/>
      <c r="D67" s="31" t="n"/>
      <c r="E67" s="32" t="n"/>
      <c r="F67" s="32" t="n"/>
      <c r="G67" s="33" t="n"/>
      <c r="H67" s="34" t="n"/>
      <c r="I67" s="33" t="n"/>
      <c r="J67" s="32" t="n"/>
      <c r="K67" s="33" t="n"/>
      <c r="L67" s="29" t="n"/>
      <c r="M67" s="29" t="n"/>
      <c r="N67" s="29" t="n"/>
    </row>
    <row r="68" ht="80" customHeight="1">
      <c r="A68" s="29" t="n"/>
      <c r="B68" s="29" t="n"/>
      <c r="C68" s="30" t="n"/>
      <c r="D68" s="31" t="n"/>
      <c r="E68" s="32" t="n"/>
      <c r="F68" s="32" t="n"/>
      <c r="G68" s="33" t="n"/>
      <c r="H68" s="34" t="n"/>
      <c r="I68" s="33" t="n"/>
      <c r="J68" s="32" t="n"/>
      <c r="K68" s="33" t="n"/>
      <c r="L68" s="29" t="n"/>
      <c r="M68" s="29" t="n"/>
      <c r="N68" s="29" t="n"/>
    </row>
    <row r="69" ht="80" customHeight="1">
      <c r="A69" s="29" t="n"/>
      <c r="B69" s="29" t="n"/>
      <c r="C69" s="30" t="n"/>
      <c r="D69" s="31" t="n"/>
      <c r="E69" s="32" t="n"/>
      <c r="F69" s="32" t="n"/>
      <c r="G69" s="33" t="n"/>
      <c r="H69" s="34" t="n"/>
      <c r="I69" s="33" t="n"/>
      <c r="J69" s="32" t="n"/>
      <c r="K69" s="33" t="n"/>
      <c r="L69" s="29" t="n"/>
      <c r="M69" s="29" t="n"/>
      <c r="N69" s="29" t="n"/>
    </row>
    <row r="70">
      <c r="A70" s="35" t="n"/>
      <c r="B70" s="35" t="n"/>
      <c r="C70" s="35" t="n"/>
      <c r="D70" s="36" t="n"/>
      <c r="E70" s="37" t="n"/>
      <c r="F70" s="37" t="n"/>
      <c r="G70" s="38" t="n"/>
      <c r="H70" s="39" t="n"/>
      <c r="I70" s="38" t="n"/>
      <c r="J70" s="37" t="n"/>
      <c r="K70" s="38" t="n"/>
      <c r="L70" s="35" t="n"/>
      <c r="M70" s="35" t="n"/>
      <c r="N70" s="35" t="n"/>
    </row>
    <row r="71">
      <c r="A71" s="35" t="n"/>
      <c r="B71" s="35" t="n"/>
      <c r="C71" s="35" t="n"/>
      <c r="D71" s="36" t="n"/>
      <c r="E71" s="37" t="n"/>
      <c r="F71" s="37" t="n"/>
      <c r="G71" s="38" t="n"/>
      <c r="H71" s="39" t="n"/>
      <c r="I71" s="38" t="n"/>
      <c r="J71" s="37" t="n"/>
      <c r="K71" s="38" t="n"/>
      <c r="L71" s="35" t="n"/>
      <c r="M71" s="35" t="n"/>
      <c r="N71" s="35" t="n"/>
    </row>
    <row r="72">
      <c r="A72" s="35" t="n"/>
      <c r="B72" s="35" t="n"/>
      <c r="C72" s="35" t="n"/>
      <c r="D72" s="36" t="n"/>
      <c r="E72" s="37" t="n"/>
      <c r="F72" s="37" t="n"/>
      <c r="G72" s="38" t="n"/>
      <c r="H72" s="39" t="n"/>
      <c r="I72" s="38" t="n"/>
      <c r="J72" s="37" t="n"/>
      <c r="K72" s="38" t="n"/>
      <c r="L72" s="35" t="n"/>
      <c r="M72" s="35" t="n"/>
      <c r="N72" s="35" t="n"/>
    </row>
    <row r="73">
      <c r="A73" s="35" t="n"/>
      <c r="B73" s="35" t="n"/>
      <c r="C73" s="35" t="n"/>
      <c r="D73" s="36" t="n"/>
      <c r="E73" s="37" t="n"/>
      <c r="F73" s="37" t="n"/>
      <c r="G73" s="38" t="n"/>
      <c r="H73" s="39" t="n"/>
      <c r="I73" s="38" t="n"/>
      <c r="J73" s="37" t="n"/>
      <c r="K73" s="38" t="n"/>
      <c r="L73" s="35" t="n"/>
      <c r="M73" s="35" t="n"/>
      <c r="N73" s="35" t="n"/>
    </row>
    <row r="74">
      <c r="A74" s="35" t="n"/>
      <c r="B74" s="35" t="n"/>
      <c r="C74" s="35" t="n"/>
      <c r="D74" s="36" t="n"/>
      <c r="E74" s="37" t="n"/>
      <c r="F74" s="37" t="n"/>
      <c r="G74" s="38" t="n"/>
      <c r="H74" s="39" t="n"/>
      <c r="I74" s="38" t="n"/>
      <c r="J74" s="37" t="n"/>
      <c r="K74" s="38" t="n"/>
      <c r="L74" s="35" t="n"/>
      <c r="M74" s="35" t="n"/>
      <c r="N74" s="35" t="n"/>
    </row>
    <row r="75">
      <c r="A75" s="35" t="n"/>
      <c r="B75" s="35" t="n"/>
      <c r="C75" s="35" t="n"/>
      <c r="D75" s="36" t="n"/>
      <c r="E75" s="37" t="n"/>
      <c r="F75" s="37" t="n"/>
      <c r="G75" s="38" t="n"/>
      <c r="H75" s="39" t="n"/>
      <c r="I75" s="38" t="n"/>
      <c r="J75" s="37" t="n"/>
      <c r="K75" s="38" t="n"/>
      <c r="L75" s="35" t="n"/>
      <c r="M75" s="35" t="n"/>
      <c r="N75" s="35" t="n"/>
    </row>
    <row r="76">
      <c r="A76" s="35" t="n"/>
      <c r="B76" s="35" t="n"/>
      <c r="C76" s="35" t="n"/>
      <c r="D76" s="36" t="n"/>
      <c r="E76" s="37" t="n"/>
      <c r="F76" s="37" t="n"/>
      <c r="G76" s="38" t="n"/>
      <c r="H76" s="39" t="n"/>
      <c r="I76" s="38" t="n"/>
      <c r="J76" s="37" t="n"/>
      <c r="K76" s="38" t="n"/>
      <c r="L76" s="35" t="n"/>
      <c r="M76" s="35" t="n"/>
      <c r="N76" s="35" t="n"/>
    </row>
    <row r="77">
      <c r="A77" s="35" t="n"/>
      <c r="B77" s="35" t="n"/>
      <c r="C77" s="35" t="n"/>
      <c r="D77" s="36" t="n"/>
      <c r="E77" s="37" t="n"/>
      <c r="F77" s="37" t="n"/>
      <c r="G77" s="38" t="n"/>
      <c r="H77" s="39" t="n"/>
      <c r="I77" s="38" t="n"/>
      <c r="J77" s="37" t="n"/>
      <c r="K77" s="38" t="n"/>
      <c r="L77" s="35" t="n"/>
      <c r="M77" s="35" t="n"/>
      <c r="N77" s="35" t="n"/>
    </row>
    <row r="78">
      <c r="A78" s="35" t="n"/>
      <c r="B78" s="35" t="n"/>
      <c r="C78" s="35" t="n"/>
      <c r="D78" s="36" t="n"/>
      <c r="E78" s="37" t="n"/>
      <c r="F78" s="37" t="n"/>
      <c r="G78" s="38" t="n"/>
      <c r="H78" s="39" t="n"/>
      <c r="I78" s="38" t="n"/>
      <c r="J78" s="37" t="n"/>
      <c r="K78" s="38" t="n"/>
      <c r="L78" s="35" t="n"/>
      <c r="M78" s="35" t="n"/>
      <c r="N78" s="35" t="n"/>
    </row>
    <row r="79">
      <c r="A79" s="35" t="n"/>
      <c r="B79" s="35" t="n"/>
      <c r="C79" s="35" t="n"/>
      <c r="D79" s="36" t="n"/>
      <c r="E79" s="37" t="n"/>
      <c r="F79" s="37" t="n"/>
      <c r="G79" s="38" t="n"/>
      <c r="H79" s="39" t="n"/>
      <c r="I79" s="38" t="n"/>
      <c r="J79" s="37" t="n"/>
      <c r="K79" s="38" t="n"/>
      <c r="L79" s="35" t="n"/>
      <c r="M79" s="35" t="n"/>
      <c r="N79" s="35" t="n"/>
    </row>
    <row r="80">
      <c r="A80" s="35" t="n"/>
      <c r="B80" s="35" t="n"/>
      <c r="C80" s="35" t="n"/>
      <c r="D80" s="36" t="n"/>
      <c r="E80" s="37" t="n"/>
      <c r="F80" s="37" t="n"/>
      <c r="G80" s="38" t="n"/>
      <c r="H80" s="39" t="n"/>
      <c r="I80" s="38" t="n"/>
      <c r="J80" s="37" t="n"/>
      <c r="K80" s="38" t="n"/>
      <c r="L80" s="35" t="n"/>
      <c r="M80" s="35" t="n"/>
      <c r="N80" s="35" t="n"/>
    </row>
    <row r="81">
      <c r="A81" s="35" t="n"/>
      <c r="B81" s="35" t="n"/>
      <c r="C81" s="35" t="n"/>
      <c r="D81" s="36" t="n"/>
      <c r="E81" s="37" t="n"/>
      <c r="F81" s="37" t="n"/>
      <c r="G81" s="38" t="n"/>
      <c r="H81" s="39" t="n"/>
      <c r="I81" s="38" t="n"/>
      <c r="J81" s="37" t="n"/>
      <c r="K81" s="38" t="n"/>
      <c r="L81" s="35" t="n"/>
      <c r="M81" s="35" t="n"/>
      <c r="N81" s="35" t="n"/>
    </row>
    <row r="82">
      <c r="A82" s="35" t="n"/>
      <c r="B82" s="35" t="n"/>
      <c r="C82" s="35" t="n"/>
      <c r="D82" s="36" t="n"/>
      <c r="E82" s="37" t="n"/>
      <c r="F82" s="37" t="n"/>
      <c r="G82" s="38" t="n"/>
      <c r="H82" s="39" t="n"/>
      <c r="I82" s="38" t="n"/>
      <c r="J82" s="37" t="n"/>
      <c r="K82" s="38" t="n"/>
      <c r="L82" s="35" t="n"/>
      <c r="M82" s="35" t="n"/>
      <c r="N82" s="35" t="n"/>
    </row>
    <row r="83">
      <c r="A83" s="35" t="n"/>
      <c r="B83" s="35" t="n"/>
      <c r="C83" s="35" t="n"/>
      <c r="D83" s="36" t="n"/>
      <c r="E83" s="37" t="n"/>
      <c r="F83" s="37" t="n"/>
      <c r="G83" s="38" t="n"/>
      <c r="H83" s="39" t="n"/>
      <c r="I83" s="38" t="n"/>
      <c r="J83" s="37" t="n"/>
      <c r="K83" s="38" t="n"/>
      <c r="L83" s="35" t="n"/>
      <c r="M83" s="35" t="n"/>
      <c r="N83" s="35" t="n"/>
    </row>
    <row r="84">
      <c r="A84" s="35" t="n"/>
      <c r="B84" s="35" t="n"/>
      <c r="C84" s="35" t="n"/>
      <c r="D84" s="36" t="n"/>
      <c r="E84" s="37" t="n"/>
      <c r="F84" s="37" t="n"/>
      <c r="G84" s="38" t="n"/>
      <c r="H84" s="39" t="n"/>
      <c r="I84" s="38" t="n"/>
      <c r="J84" s="37" t="n"/>
      <c r="K84" s="38" t="n"/>
      <c r="L84" s="35" t="n"/>
      <c r="M84" s="35" t="n"/>
      <c r="N84" s="35" t="n"/>
    </row>
    <row r="85">
      <c r="A85" s="35" t="n"/>
      <c r="B85" s="35" t="n"/>
      <c r="C85" s="35" t="n"/>
      <c r="D85" s="36" t="n"/>
      <c r="E85" s="37" t="n"/>
      <c r="F85" s="37" t="n"/>
      <c r="G85" s="38" t="n"/>
      <c r="H85" s="39" t="n"/>
      <c r="I85" s="38" t="n"/>
      <c r="J85" s="37" t="n"/>
      <c r="K85" s="38" t="n"/>
      <c r="L85" s="35" t="n"/>
      <c r="M85" s="35" t="n"/>
      <c r="N85" s="35" t="n"/>
    </row>
    <row r="86">
      <c r="A86" s="35" t="n"/>
      <c r="B86" s="35" t="n"/>
      <c r="C86" s="35" t="n"/>
      <c r="D86" s="36" t="n"/>
      <c r="E86" s="37" t="n"/>
      <c r="F86" s="37" t="n"/>
      <c r="G86" s="38" t="n"/>
      <c r="H86" s="39" t="n"/>
      <c r="I86" s="38" t="n"/>
      <c r="J86" s="37" t="n"/>
      <c r="K86" s="38" t="n"/>
      <c r="L86" s="35" t="n"/>
      <c r="M86" s="35" t="n"/>
      <c r="N86" s="35" t="n"/>
    </row>
    <row r="87">
      <c r="A87" s="35" t="n"/>
      <c r="B87" s="35" t="n"/>
      <c r="C87" s="35" t="n"/>
      <c r="D87" s="36" t="n"/>
      <c r="E87" s="37" t="n"/>
      <c r="F87" s="37" t="n"/>
      <c r="G87" s="38" t="n"/>
      <c r="H87" s="39" t="n"/>
      <c r="I87" s="38" t="n"/>
      <c r="J87" s="37" t="n"/>
      <c r="K87" s="38" t="n"/>
      <c r="L87" s="35" t="n"/>
      <c r="M87" s="35" t="n"/>
      <c r="N87" s="35" t="n"/>
    </row>
    <row r="88">
      <c r="A88" s="35" t="n"/>
      <c r="B88" s="35" t="n"/>
      <c r="C88" s="35" t="n"/>
      <c r="D88" s="36" t="n"/>
      <c r="E88" s="37" t="n"/>
      <c r="F88" s="37" t="n"/>
      <c r="G88" s="38" t="n"/>
      <c r="H88" s="39" t="n"/>
      <c r="I88" s="38" t="n"/>
      <c r="J88" s="37" t="n"/>
      <c r="K88" s="38" t="n"/>
      <c r="L88" s="35" t="n"/>
      <c r="M88" s="35" t="n"/>
      <c r="N88" s="35" t="n"/>
    </row>
    <row r="89">
      <c r="A89" s="35" t="n"/>
      <c r="B89" s="35" t="n"/>
      <c r="C89" s="35" t="n"/>
      <c r="D89" s="36" t="n"/>
      <c r="E89" s="37" t="n"/>
      <c r="F89" s="37" t="n"/>
      <c r="G89" s="38" t="n"/>
      <c r="H89" s="39" t="n"/>
      <c r="I89" s="38" t="n"/>
      <c r="J89" s="37" t="n"/>
      <c r="K89" s="38" t="n"/>
      <c r="L89" s="35" t="n"/>
      <c r="M89" s="35" t="n"/>
      <c r="N89" s="35" t="n"/>
    </row>
    <row r="90">
      <c r="A90" s="35" t="n"/>
      <c r="B90" s="35" t="n"/>
      <c r="C90" s="35" t="n"/>
      <c r="D90" s="36" t="n"/>
      <c r="E90" s="37" t="n"/>
      <c r="F90" s="37" t="n"/>
      <c r="G90" s="38" t="n"/>
      <c r="H90" s="39" t="n"/>
      <c r="I90" s="38" t="n"/>
      <c r="J90" s="37" t="n"/>
      <c r="K90" s="38" t="n"/>
      <c r="L90" s="35" t="n"/>
      <c r="M90" s="35" t="n"/>
      <c r="N90" s="35" t="n"/>
    </row>
    <row r="91">
      <c r="A91" s="35" t="n"/>
      <c r="B91" s="35" t="n"/>
      <c r="C91" s="35" t="n"/>
      <c r="D91" s="36" t="n"/>
      <c r="E91" s="37" t="n"/>
      <c r="F91" s="37" t="n"/>
      <c r="G91" s="38" t="n"/>
      <c r="H91" s="39" t="n"/>
      <c r="I91" s="38" t="n"/>
      <c r="J91" s="37" t="n"/>
      <c r="K91" s="38" t="n"/>
      <c r="L91" s="35" t="n"/>
      <c r="M91" s="35" t="n"/>
      <c r="N91" s="35" t="n"/>
    </row>
    <row r="92">
      <c r="A92" s="35" t="n"/>
      <c r="B92" s="35" t="n"/>
      <c r="C92" s="35" t="n"/>
      <c r="D92" s="36" t="n"/>
      <c r="E92" s="37" t="n"/>
      <c r="F92" s="37" t="n"/>
      <c r="G92" s="38" t="n"/>
      <c r="H92" s="39" t="n"/>
      <c r="I92" s="38" t="n"/>
      <c r="J92" s="37" t="n"/>
      <c r="K92" s="38" t="n"/>
      <c r="L92" s="35" t="n"/>
      <c r="M92" s="35" t="n"/>
      <c r="N92" s="35" t="n"/>
    </row>
    <row r="93">
      <c r="A93" s="35" t="n"/>
      <c r="B93" s="35" t="n"/>
      <c r="C93" s="35" t="n"/>
      <c r="D93" s="36" t="n"/>
      <c r="E93" s="37" t="n"/>
      <c r="F93" s="37" t="n"/>
      <c r="G93" s="38" t="n"/>
      <c r="H93" s="39" t="n"/>
      <c r="I93" s="38" t="n"/>
      <c r="J93" s="37" t="n"/>
      <c r="K93" s="38" t="n"/>
      <c r="L93" s="35" t="n"/>
      <c r="M93" s="35" t="n"/>
      <c r="N93" s="35" t="n"/>
    </row>
    <row r="94">
      <c r="A94" s="35" t="n"/>
      <c r="B94" s="35" t="n"/>
      <c r="C94" s="35" t="n"/>
      <c r="D94" s="36" t="n"/>
      <c r="E94" s="37" t="n"/>
      <c r="F94" s="37" t="n"/>
      <c r="G94" s="38" t="n"/>
      <c r="H94" s="39" t="n"/>
      <c r="I94" s="38" t="n"/>
      <c r="J94" s="37" t="n"/>
      <c r="K94" s="38" t="n"/>
      <c r="L94" s="35" t="n"/>
      <c r="M94" s="35" t="n"/>
      <c r="N94" s="35" t="n"/>
    </row>
    <row r="95">
      <c r="A95" s="35" t="n"/>
      <c r="B95" s="35" t="n"/>
      <c r="C95" s="35" t="n"/>
      <c r="D95" s="36" t="n"/>
      <c r="E95" s="37" t="n"/>
      <c r="F95" s="37" t="n"/>
      <c r="G95" s="38" t="n"/>
      <c r="H95" s="39" t="n"/>
      <c r="I95" s="38" t="n"/>
      <c r="J95" s="37" t="n"/>
      <c r="K95" s="38" t="n"/>
      <c r="L95" s="35" t="n"/>
      <c r="M95" s="35" t="n"/>
      <c r="N95" s="35" t="n"/>
    </row>
    <row r="96">
      <c r="A96" s="35" t="n"/>
      <c r="B96" s="35" t="n"/>
      <c r="C96" s="35" t="n"/>
      <c r="D96" s="36" t="n"/>
      <c r="E96" s="37" t="n"/>
      <c r="F96" s="37" t="n"/>
      <c r="G96" s="38" t="n"/>
      <c r="H96" s="39" t="n"/>
      <c r="I96" s="38" t="n"/>
      <c r="J96" s="37" t="n"/>
      <c r="K96" s="38" t="n"/>
      <c r="L96" s="35" t="n"/>
      <c r="M96" s="35" t="n"/>
      <c r="N96" s="35" t="n"/>
    </row>
    <row r="97">
      <c r="A97" s="35" t="n"/>
      <c r="B97" s="35" t="n"/>
      <c r="C97" s="35" t="n"/>
      <c r="D97" s="36" t="n"/>
      <c r="E97" s="37" t="n"/>
      <c r="F97" s="37" t="n"/>
      <c r="G97" s="38" t="n"/>
      <c r="H97" s="39" t="n"/>
      <c r="I97" s="38" t="n"/>
      <c r="J97" s="37" t="n"/>
      <c r="K97" s="38" t="n"/>
      <c r="L97" s="35" t="n"/>
      <c r="M97" s="35" t="n"/>
      <c r="N97" s="35" t="n"/>
    </row>
    <row r="98">
      <c r="A98" s="35" t="n"/>
      <c r="B98" s="35" t="n"/>
      <c r="C98" s="35" t="n"/>
      <c r="D98" s="36" t="n"/>
      <c r="E98" s="37" t="n"/>
      <c r="F98" s="37" t="n"/>
      <c r="G98" s="38" t="n"/>
      <c r="H98" s="39" t="n"/>
      <c r="I98" s="38" t="n"/>
      <c r="J98" s="37" t="n"/>
      <c r="K98" s="38" t="n"/>
      <c r="L98" s="35" t="n"/>
      <c r="M98" s="35" t="n"/>
      <c r="N98" s="35" t="n"/>
    </row>
    <row r="99">
      <c r="A99" s="35" t="n"/>
      <c r="B99" s="35" t="n"/>
      <c r="C99" s="35" t="n"/>
      <c r="D99" s="36" t="n"/>
      <c r="E99" s="37" t="n"/>
      <c r="F99" s="37" t="n"/>
      <c r="G99" s="38" t="n"/>
      <c r="H99" s="39" t="n"/>
      <c r="I99" s="38" t="n"/>
      <c r="J99" s="37" t="n"/>
      <c r="K99" s="38" t="n"/>
      <c r="L99" s="35" t="n"/>
      <c r="M99" s="35" t="n"/>
      <c r="N99" s="35" t="n"/>
    </row>
    <row r="100">
      <c r="A100" s="35" t="n"/>
      <c r="B100" s="35" t="n"/>
      <c r="C100" s="35" t="n"/>
      <c r="D100" s="36" t="n"/>
      <c r="E100" s="37" t="n"/>
      <c r="F100" s="37" t="n"/>
      <c r="G100" s="38" t="n"/>
      <c r="H100" s="39" t="n"/>
      <c r="I100" s="38" t="n"/>
      <c r="J100" s="37" t="n"/>
      <c r="K100" s="38" t="n"/>
      <c r="L100" s="35" t="n"/>
      <c r="M100" s="35" t="n"/>
      <c r="N100" s="35" t="n"/>
    </row>
    <row r="101">
      <c r="A101" s="35" t="n"/>
      <c r="B101" s="35" t="n"/>
      <c r="C101" s="35" t="n"/>
      <c r="D101" s="36" t="n"/>
      <c r="E101" s="37" t="n"/>
      <c r="F101" s="37" t="n"/>
      <c r="G101" s="38" t="n"/>
      <c r="H101" s="39" t="n"/>
      <c r="I101" s="38" t="n"/>
      <c r="J101" s="37" t="n"/>
      <c r="K101" s="38" t="n"/>
      <c r="L101" s="35" t="n"/>
      <c r="M101" s="35" t="n"/>
      <c r="N101" s="35" t="n"/>
    </row>
    <row r="102">
      <c r="A102" s="35" t="n"/>
      <c r="B102" s="35" t="n"/>
      <c r="C102" s="35" t="n"/>
      <c r="D102" s="36" t="n"/>
      <c r="E102" s="37" t="n"/>
      <c r="F102" s="37" t="n"/>
      <c r="G102" s="38" t="n"/>
      <c r="H102" s="39" t="n"/>
      <c r="I102" s="38" t="n"/>
      <c r="J102" s="37" t="n"/>
      <c r="K102" s="38" t="n"/>
      <c r="L102" s="35" t="n"/>
      <c r="M102" s="35" t="n"/>
      <c r="N102" s="35" t="n"/>
    </row>
    <row r="103">
      <c r="A103" s="35" t="n"/>
      <c r="B103" s="35" t="n"/>
      <c r="C103" s="35" t="n"/>
      <c r="D103" s="36" t="n"/>
      <c r="E103" s="37" t="n"/>
      <c r="F103" s="37" t="n"/>
      <c r="G103" s="38" t="n"/>
      <c r="H103" s="39" t="n"/>
      <c r="I103" s="38" t="n"/>
      <c r="J103" s="37" t="n"/>
      <c r="K103" s="38" t="n"/>
      <c r="L103" s="35" t="n"/>
      <c r="M103" s="35" t="n"/>
      <c r="N103" s="35" t="n"/>
    </row>
    <row r="104">
      <c r="A104" s="35" t="n"/>
      <c r="B104" s="35" t="n"/>
      <c r="C104" s="35" t="n"/>
      <c r="D104" s="36" t="n"/>
      <c r="E104" s="37" t="n"/>
      <c r="F104" s="37" t="n"/>
      <c r="G104" s="38" t="n"/>
      <c r="H104" s="39" t="n"/>
      <c r="I104" s="38" t="n"/>
      <c r="J104" s="37" t="n"/>
      <c r="K104" s="38" t="n"/>
      <c r="L104" s="35" t="n"/>
      <c r="M104" s="35" t="n"/>
      <c r="N104" s="35" t="n"/>
    </row>
    <row r="105">
      <c r="A105" s="35" t="n"/>
      <c r="B105" s="35" t="n"/>
      <c r="C105" s="35" t="n"/>
      <c r="D105" s="36" t="n"/>
      <c r="E105" s="37" t="n"/>
      <c r="F105" s="37" t="n"/>
      <c r="G105" s="38" t="n"/>
      <c r="H105" s="39" t="n"/>
      <c r="I105" s="38" t="n"/>
      <c r="J105" s="37" t="n"/>
      <c r="K105" s="38" t="n"/>
      <c r="L105" s="35" t="n"/>
      <c r="M105" s="35" t="n"/>
      <c r="N105" s="35" t="n"/>
    </row>
    <row r="106">
      <c r="A106" s="35" t="n"/>
      <c r="B106" s="35" t="n"/>
      <c r="C106" s="35" t="n"/>
      <c r="D106" s="36" t="n"/>
      <c r="E106" s="37" t="n"/>
      <c r="F106" s="37" t="n"/>
      <c r="G106" s="38" t="n"/>
      <c r="H106" s="39" t="n"/>
      <c r="I106" s="38" t="n"/>
      <c r="J106" s="37" t="n"/>
      <c r="K106" s="38" t="n"/>
      <c r="L106" s="35" t="n"/>
      <c r="M106" s="35" t="n"/>
      <c r="N106" s="35" t="n"/>
    </row>
    <row r="107">
      <c r="A107" s="35" t="n"/>
      <c r="B107" s="35" t="n"/>
      <c r="C107" s="35" t="n"/>
      <c r="D107" s="36" t="n"/>
      <c r="E107" s="37" t="n"/>
      <c r="F107" s="37" t="n"/>
      <c r="G107" s="38" t="n"/>
      <c r="H107" s="39" t="n"/>
      <c r="I107" s="38" t="n"/>
      <c r="J107" s="37" t="n"/>
      <c r="K107" s="38" t="n"/>
      <c r="L107" s="35" t="n"/>
      <c r="M107" s="35" t="n"/>
      <c r="N107" s="35" t="n"/>
    </row>
    <row r="108">
      <c r="A108" s="35" t="n"/>
      <c r="B108" s="35" t="n"/>
      <c r="C108" s="35" t="n"/>
      <c r="D108" s="36" t="n"/>
      <c r="E108" s="37" t="n"/>
      <c r="F108" s="37" t="n"/>
      <c r="G108" s="38" t="n"/>
      <c r="H108" s="39" t="n"/>
      <c r="I108" s="38" t="n"/>
      <c r="J108" s="37" t="n"/>
      <c r="K108" s="38" t="n"/>
      <c r="L108" s="35" t="n"/>
      <c r="M108" s="35" t="n"/>
      <c r="N108" s="35" t="n"/>
    </row>
    <row r="109">
      <c r="A109" s="35" t="n"/>
      <c r="B109" s="35" t="n"/>
      <c r="C109" s="35" t="n"/>
      <c r="D109" s="36" t="n"/>
      <c r="E109" s="37" t="n"/>
      <c r="F109" s="37" t="n"/>
      <c r="G109" s="38" t="n"/>
      <c r="H109" s="39" t="n"/>
      <c r="I109" s="38" t="n"/>
      <c r="J109" s="37" t="n"/>
      <c r="K109" s="38" t="n"/>
      <c r="L109" s="35" t="n"/>
      <c r="M109" s="35" t="n"/>
      <c r="N109" s="35" t="n"/>
    </row>
    <row r="110">
      <c r="A110" s="35" t="n"/>
      <c r="B110" s="35" t="n"/>
      <c r="C110" s="35" t="n"/>
      <c r="D110" s="36" t="n"/>
      <c r="E110" s="37" t="n"/>
      <c r="F110" s="37" t="n"/>
      <c r="G110" s="38" t="n"/>
      <c r="H110" s="39" t="n"/>
      <c r="I110" s="38" t="n"/>
      <c r="J110" s="37" t="n"/>
      <c r="K110" s="38" t="n"/>
      <c r="L110" s="35" t="n"/>
      <c r="M110" s="35" t="n"/>
      <c r="N110" s="35" t="n"/>
    </row>
    <row r="111">
      <c r="A111" s="35" t="n"/>
      <c r="B111" s="35" t="n"/>
      <c r="C111" s="35" t="n"/>
      <c r="D111" s="36" t="n"/>
      <c r="E111" s="37" t="n"/>
      <c r="F111" s="37" t="n"/>
      <c r="G111" s="38" t="n"/>
      <c r="H111" s="39" t="n"/>
      <c r="I111" s="38" t="n"/>
      <c r="J111" s="37" t="n"/>
      <c r="K111" s="38" t="n"/>
      <c r="L111" s="35" t="n"/>
      <c r="M111" s="35" t="n"/>
      <c r="N111" s="35" t="n"/>
    </row>
    <row r="112">
      <c r="A112" s="35" t="n"/>
      <c r="B112" s="35" t="n"/>
      <c r="C112" s="35" t="n"/>
      <c r="D112" s="36" t="n"/>
      <c r="E112" s="37" t="n"/>
      <c r="F112" s="37" t="n"/>
      <c r="G112" s="38" t="n"/>
      <c r="H112" s="39" t="n"/>
      <c r="I112" s="38" t="n"/>
      <c r="J112" s="37" t="n"/>
      <c r="K112" s="38" t="n"/>
      <c r="L112" s="35" t="n"/>
      <c r="M112" s="35" t="n"/>
      <c r="N112" s="35" t="n"/>
    </row>
    <row r="113">
      <c r="A113" s="35" t="n"/>
      <c r="B113" s="35" t="n"/>
      <c r="C113" s="35" t="n"/>
      <c r="D113" s="36" t="n"/>
      <c r="E113" s="37" t="n"/>
      <c r="F113" s="37" t="n"/>
      <c r="G113" s="38" t="n"/>
      <c r="H113" s="39" t="n"/>
      <c r="I113" s="38" t="n"/>
      <c r="J113" s="37" t="n"/>
      <c r="K113" s="38" t="n"/>
      <c r="L113" s="35" t="n"/>
      <c r="M113" s="35" t="n"/>
      <c r="N113" s="35" t="n"/>
    </row>
    <row r="114">
      <c r="A114" s="35" t="n"/>
      <c r="B114" s="35" t="n"/>
      <c r="C114" s="35" t="n"/>
      <c r="D114" s="36" t="n"/>
      <c r="E114" s="37" t="n"/>
      <c r="F114" s="37" t="n"/>
      <c r="G114" s="38" t="n"/>
      <c r="H114" s="39" t="n"/>
      <c r="I114" s="38" t="n"/>
      <c r="J114" s="37" t="n"/>
      <c r="K114" s="38" t="n"/>
      <c r="L114" s="35" t="n"/>
      <c r="M114" s="35" t="n"/>
      <c r="N114" s="35" t="n"/>
    </row>
    <row r="115">
      <c r="A115" s="35" t="n"/>
      <c r="B115" s="35" t="n"/>
      <c r="C115" s="35" t="n"/>
      <c r="D115" s="36" t="n"/>
      <c r="E115" s="37" t="n"/>
      <c r="F115" s="37" t="n"/>
      <c r="G115" s="38" t="n"/>
      <c r="H115" s="39" t="n"/>
      <c r="I115" s="38" t="n"/>
      <c r="J115" s="37" t="n"/>
      <c r="K115" s="38" t="n"/>
      <c r="L115" s="35" t="n"/>
      <c r="M115" s="35" t="n"/>
      <c r="N115" s="35" t="n"/>
    </row>
    <row r="116">
      <c r="A116" s="35" t="n"/>
      <c r="B116" s="35" t="n"/>
      <c r="C116" s="35" t="n"/>
      <c r="D116" s="36" t="n"/>
      <c r="E116" s="37" t="n"/>
      <c r="F116" s="37" t="n"/>
      <c r="G116" s="38" t="n"/>
      <c r="H116" s="39" t="n"/>
      <c r="I116" s="38" t="n"/>
      <c r="J116" s="37" t="n"/>
      <c r="K116" s="38" t="n"/>
      <c r="L116" s="35" t="n"/>
      <c r="M116" s="35" t="n"/>
      <c r="N116" s="35" t="n"/>
    </row>
    <row r="117">
      <c r="A117" s="35" t="n"/>
      <c r="B117" s="35" t="n"/>
      <c r="C117" s="35" t="n"/>
      <c r="D117" s="36" t="n"/>
      <c r="E117" s="37" t="n"/>
      <c r="F117" s="37" t="n"/>
      <c r="G117" s="38" t="n"/>
      <c r="H117" s="39" t="n"/>
      <c r="I117" s="38" t="n"/>
      <c r="J117" s="37" t="n"/>
      <c r="K117" s="38" t="n"/>
      <c r="L117" s="35" t="n"/>
      <c r="M117" s="35" t="n"/>
      <c r="N117" s="35" t="n"/>
    </row>
    <row r="118">
      <c r="A118" s="35" t="n"/>
      <c r="B118" s="35" t="n"/>
      <c r="C118" s="35" t="n"/>
      <c r="D118" s="36" t="n"/>
      <c r="E118" s="37" t="n"/>
      <c r="F118" s="37" t="n"/>
      <c r="G118" s="38" t="n"/>
      <c r="H118" s="39" t="n"/>
      <c r="I118" s="38" t="n"/>
      <c r="J118" s="37" t="n"/>
      <c r="K118" s="38" t="n"/>
      <c r="L118" s="35" t="n"/>
      <c r="M118" s="35" t="n"/>
      <c r="N118" s="35" t="n"/>
    </row>
    <row r="119">
      <c r="A119" s="35" t="n"/>
      <c r="B119" s="35" t="n"/>
      <c r="C119" s="35" t="n"/>
      <c r="D119" s="36" t="n"/>
      <c r="E119" s="37" t="n"/>
      <c r="F119" s="37" t="n"/>
      <c r="G119" s="38" t="n"/>
      <c r="H119" s="39" t="n"/>
      <c r="I119" s="38" t="n"/>
      <c r="J119" s="37" t="n"/>
      <c r="K119" s="38" t="n"/>
      <c r="L119" s="35" t="n"/>
      <c r="M119" s="35" t="n"/>
      <c r="N119" s="35" t="n"/>
    </row>
    <row r="120">
      <c r="A120" s="35" t="n"/>
      <c r="B120" s="35" t="n"/>
      <c r="C120" s="35" t="n"/>
      <c r="D120" s="36" t="n"/>
      <c r="E120" s="37" t="n"/>
      <c r="F120" s="37" t="n"/>
      <c r="G120" s="38" t="n"/>
      <c r="H120" s="39" t="n"/>
      <c r="I120" s="38" t="n"/>
      <c r="J120" s="37" t="n"/>
      <c r="K120" s="38" t="n"/>
      <c r="L120" s="35" t="n"/>
      <c r="M120" s="35" t="n"/>
      <c r="N120" s="35" t="n"/>
    </row>
    <row r="121">
      <c r="A121" s="35" t="n"/>
      <c r="B121" s="35" t="n"/>
      <c r="C121" s="35" t="n"/>
      <c r="D121" s="36" t="n"/>
      <c r="E121" s="37" t="n"/>
      <c r="F121" s="37" t="n"/>
      <c r="G121" s="38" t="n"/>
      <c r="H121" s="39" t="n"/>
      <c r="I121" s="38" t="n"/>
      <c r="J121" s="37" t="n"/>
      <c r="K121" s="38" t="n"/>
      <c r="L121" s="35" t="n"/>
      <c r="M121" s="35" t="n"/>
      <c r="N121" s="35" t="n"/>
    </row>
    <row r="122">
      <c r="A122" s="35" t="n"/>
      <c r="B122" s="35" t="n"/>
      <c r="C122" s="35" t="n"/>
      <c r="D122" s="36" t="n"/>
      <c r="E122" s="37" t="n"/>
      <c r="F122" s="37" t="n"/>
      <c r="G122" s="38" t="n"/>
      <c r="H122" s="39" t="n"/>
      <c r="I122" s="38" t="n"/>
      <c r="J122" s="37" t="n"/>
      <c r="K122" s="38" t="n"/>
      <c r="L122" s="35" t="n"/>
      <c r="M122" s="35" t="n"/>
      <c r="N122" s="35" t="n"/>
    </row>
    <row r="123">
      <c r="A123" s="35" t="n"/>
      <c r="B123" s="35" t="n"/>
      <c r="C123" s="35" t="n"/>
      <c r="D123" s="36" t="n"/>
      <c r="E123" s="37" t="n"/>
      <c r="F123" s="37" t="n"/>
      <c r="G123" s="38" t="n"/>
      <c r="H123" s="39" t="n"/>
      <c r="I123" s="38" t="n"/>
      <c r="J123" s="37" t="n"/>
      <c r="K123" s="38" t="n"/>
      <c r="L123" s="35" t="n"/>
      <c r="M123" s="35" t="n"/>
      <c r="N123" s="35" t="n"/>
    </row>
    <row r="124">
      <c r="A124" s="35" t="n"/>
      <c r="B124" s="35" t="n"/>
      <c r="C124" s="35" t="n"/>
      <c r="D124" s="36" t="n"/>
      <c r="E124" s="37" t="n"/>
      <c r="F124" s="37" t="n"/>
      <c r="G124" s="38" t="n"/>
      <c r="H124" s="39" t="n"/>
      <c r="I124" s="38" t="n"/>
      <c r="J124" s="37" t="n"/>
      <c r="K124" s="38" t="n"/>
      <c r="L124" s="35" t="n"/>
      <c r="M124" s="35" t="n"/>
      <c r="N124" s="35" t="n"/>
    </row>
    <row r="125">
      <c r="A125" s="35" t="n"/>
      <c r="B125" s="35" t="n"/>
      <c r="C125" s="35" t="n"/>
      <c r="D125" s="36" t="n"/>
      <c r="E125" s="37" t="n"/>
      <c r="F125" s="37" t="n"/>
      <c r="G125" s="38" t="n"/>
      <c r="H125" s="39" t="n"/>
      <c r="I125" s="38" t="n"/>
      <c r="J125" s="37" t="n"/>
      <c r="K125" s="38" t="n"/>
      <c r="L125" s="35" t="n"/>
      <c r="M125" s="35" t="n"/>
      <c r="N125" s="35" t="n"/>
    </row>
    <row r="126">
      <c r="A126" s="35" t="n"/>
      <c r="B126" s="35" t="n"/>
      <c r="C126" s="35" t="n"/>
      <c r="D126" s="36" t="n"/>
      <c r="E126" s="37" t="n"/>
      <c r="F126" s="37" t="n"/>
      <c r="G126" s="38" t="n"/>
      <c r="H126" s="39" t="n"/>
      <c r="I126" s="38" t="n"/>
      <c r="J126" s="37" t="n"/>
      <c r="K126" s="38" t="n"/>
      <c r="L126" s="35" t="n"/>
      <c r="M126" s="35" t="n"/>
      <c r="N126" s="35" t="n"/>
    </row>
    <row r="127">
      <c r="A127" s="35" t="n"/>
      <c r="B127" s="35" t="n"/>
      <c r="C127" s="35" t="n"/>
      <c r="D127" s="36" t="n"/>
      <c r="E127" s="37" t="n"/>
      <c r="F127" s="37" t="n"/>
      <c r="G127" s="38" t="n"/>
      <c r="H127" s="39" t="n"/>
      <c r="I127" s="38" t="n"/>
      <c r="J127" s="37" t="n"/>
      <c r="K127" s="38" t="n"/>
      <c r="L127" s="35" t="n"/>
      <c r="M127" s="35" t="n"/>
      <c r="N127" s="35" t="n"/>
    </row>
    <row r="128">
      <c r="A128" s="35" t="n"/>
      <c r="B128" s="35" t="n"/>
      <c r="C128" s="35" t="n"/>
      <c r="D128" s="36" t="n"/>
      <c r="E128" s="37" t="n"/>
      <c r="F128" s="37" t="n"/>
      <c r="G128" s="38" t="n"/>
      <c r="H128" s="39" t="n"/>
      <c r="I128" s="38" t="n"/>
      <c r="J128" s="37" t="n"/>
      <c r="K128" s="38" t="n"/>
      <c r="L128" s="35" t="n"/>
      <c r="M128" s="35" t="n"/>
      <c r="N128" s="35" t="n"/>
    </row>
    <row r="129">
      <c r="A129" s="35" t="n"/>
      <c r="B129" s="35" t="n"/>
      <c r="C129" s="35" t="n"/>
      <c r="D129" s="36" t="n"/>
      <c r="E129" s="37" t="n"/>
      <c r="F129" s="37" t="n"/>
      <c r="G129" s="38" t="n"/>
      <c r="H129" s="39" t="n"/>
      <c r="I129" s="38" t="n"/>
      <c r="J129" s="37" t="n"/>
      <c r="K129" s="38" t="n"/>
      <c r="L129" s="35" t="n"/>
      <c r="M129" s="35" t="n"/>
      <c r="N129" s="35" t="n"/>
    </row>
    <row r="130">
      <c r="A130" s="35" t="n"/>
      <c r="B130" s="35" t="n"/>
      <c r="C130" s="35" t="n"/>
      <c r="D130" s="36" t="n"/>
      <c r="E130" s="37" t="n"/>
      <c r="F130" s="37" t="n"/>
      <c r="G130" s="38" t="n"/>
      <c r="H130" s="39" t="n"/>
      <c r="I130" s="38" t="n"/>
      <c r="J130" s="37" t="n"/>
      <c r="K130" s="38" t="n"/>
      <c r="L130" s="35" t="n"/>
      <c r="M130" s="35" t="n"/>
      <c r="N130" s="35" t="n"/>
    </row>
    <row r="131">
      <c r="A131" s="35" t="n"/>
      <c r="B131" s="35" t="n"/>
      <c r="C131" s="35" t="n"/>
      <c r="D131" s="36" t="n"/>
      <c r="E131" s="37" t="n"/>
      <c r="F131" s="37" t="n"/>
      <c r="G131" s="38" t="n"/>
      <c r="H131" s="39" t="n"/>
      <c r="I131" s="38" t="n"/>
      <c r="J131" s="37" t="n"/>
      <c r="K131" s="38" t="n"/>
      <c r="L131" s="35" t="n"/>
      <c r="M131" s="35" t="n"/>
      <c r="N131" s="35" t="n"/>
    </row>
    <row r="132">
      <c r="A132" s="35" t="n"/>
      <c r="B132" s="35" t="n"/>
      <c r="C132" s="35" t="n"/>
      <c r="D132" s="36" t="n"/>
      <c r="E132" s="37" t="n"/>
      <c r="F132" s="37" t="n"/>
      <c r="G132" s="38" t="n"/>
      <c r="H132" s="39" t="n"/>
      <c r="I132" s="38" t="n"/>
      <c r="J132" s="37" t="n"/>
      <c r="K132" s="38" t="n"/>
      <c r="L132" s="35" t="n"/>
      <c r="M132" s="35" t="n"/>
      <c r="N132" s="35" t="n"/>
    </row>
    <row r="133">
      <c r="A133" s="35" t="n"/>
      <c r="B133" s="35" t="n"/>
      <c r="C133" s="35" t="n"/>
      <c r="D133" s="36" t="n"/>
      <c r="E133" s="37" t="n"/>
      <c r="F133" s="37" t="n"/>
      <c r="G133" s="38" t="n"/>
      <c r="H133" s="39" t="n"/>
      <c r="I133" s="38" t="n"/>
      <c r="J133" s="37" t="n"/>
      <c r="K133" s="38" t="n"/>
      <c r="L133" s="35" t="n"/>
      <c r="M133" s="35" t="n"/>
      <c r="N133" s="35" t="n"/>
    </row>
    <row r="134">
      <c r="A134" s="35" t="n"/>
      <c r="B134" s="35" t="n"/>
      <c r="C134" s="35" t="n"/>
      <c r="D134" s="36" t="n"/>
      <c r="E134" s="37" t="n"/>
      <c r="F134" s="37" t="n"/>
      <c r="G134" s="38" t="n"/>
      <c r="H134" s="39" t="n"/>
      <c r="I134" s="38" t="n"/>
      <c r="J134" s="37" t="n"/>
      <c r="K134" s="38" t="n"/>
      <c r="L134" s="35" t="n"/>
      <c r="M134" s="35" t="n"/>
      <c r="N134" s="35" t="n"/>
    </row>
    <row r="135">
      <c r="A135" s="35" t="n"/>
      <c r="B135" s="35" t="n"/>
      <c r="C135" s="35" t="n"/>
      <c r="D135" s="36" t="n"/>
      <c r="E135" s="37" t="n"/>
      <c r="F135" s="37" t="n"/>
      <c r="G135" s="38" t="n"/>
      <c r="H135" s="39" t="n"/>
      <c r="I135" s="38" t="n"/>
      <c r="J135" s="37" t="n"/>
      <c r="K135" s="38" t="n"/>
      <c r="L135" s="35" t="n"/>
      <c r="M135" s="35" t="n"/>
      <c r="N135" s="35" t="n"/>
    </row>
    <row r="136">
      <c r="A136" s="35" t="n"/>
      <c r="B136" s="35" t="n"/>
      <c r="C136" s="35" t="n"/>
      <c r="D136" s="36" t="n"/>
      <c r="E136" s="37" t="n"/>
      <c r="F136" s="37" t="n"/>
      <c r="G136" s="38" t="n"/>
      <c r="H136" s="39" t="n"/>
      <c r="I136" s="38" t="n"/>
      <c r="J136" s="37" t="n"/>
      <c r="K136" s="38" t="n"/>
      <c r="L136" s="35" t="n"/>
      <c r="M136" s="35" t="n"/>
      <c r="N136" s="35" t="n"/>
    </row>
    <row r="137">
      <c r="A137" s="35" t="n"/>
      <c r="B137" s="35" t="n"/>
      <c r="C137" s="35" t="n"/>
      <c r="D137" s="36" t="n"/>
      <c r="E137" s="37" t="n"/>
      <c r="F137" s="37" t="n"/>
      <c r="G137" s="38" t="n"/>
      <c r="H137" s="39" t="n"/>
      <c r="I137" s="38" t="n"/>
      <c r="J137" s="37" t="n"/>
      <c r="K137" s="38" t="n"/>
      <c r="L137" s="35" t="n"/>
      <c r="M137" s="35" t="n"/>
      <c r="N137" s="35" t="n"/>
    </row>
    <row r="138">
      <c r="A138" s="35" t="n"/>
      <c r="B138" s="35" t="n"/>
      <c r="C138" s="35" t="n"/>
      <c r="D138" s="36" t="n"/>
      <c r="E138" s="37" t="n"/>
      <c r="F138" s="37" t="n"/>
      <c r="G138" s="38" t="n"/>
      <c r="H138" s="39" t="n"/>
      <c r="I138" s="38" t="n"/>
      <c r="J138" s="37" t="n"/>
      <c r="K138" s="38" t="n"/>
      <c r="L138" s="35" t="n"/>
      <c r="M138" s="35" t="n"/>
      <c r="N138" s="35" t="n"/>
    </row>
    <row r="139">
      <c r="A139" s="35" t="n"/>
      <c r="B139" s="35" t="n"/>
      <c r="C139" s="35" t="n"/>
      <c r="D139" s="36" t="n"/>
      <c r="E139" s="37" t="n"/>
      <c r="F139" s="37" t="n"/>
      <c r="G139" s="38" t="n"/>
      <c r="H139" s="39" t="n"/>
      <c r="I139" s="38" t="n"/>
      <c r="J139" s="37" t="n"/>
      <c r="K139" s="38" t="n"/>
      <c r="L139" s="35" t="n"/>
      <c r="M139" s="35" t="n"/>
      <c r="N139" s="35" t="n"/>
    </row>
    <row r="140">
      <c r="A140" s="35" t="n"/>
      <c r="B140" s="35" t="n"/>
      <c r="C140" s="35" t="n"/>
      <c r="D140" s="36" t="n"/>
      <c r="E140" s="37" t="n"/>
      <c r="F140" s="37" t="n"/>
      <c r="G140" s="38" t="n"/>
      <c r="H140" s="39" t="n"/>
      <c r="I140" s="38" t="n"/>
      <c r="J140" s="37" t="n"/>
      <c r="K140" s="38" t="n"/>
      <c r="L140" s="35" t="n"/>
      <c r="M140" s="35" t="n"/>
      <c r="N140" s="35" t="n"/>
    </row>
    <row r="141">
      <c r="A141" s="35" t="n"/>
      <c r="B141" s="35" t="n"/>
      <c r="C141" s="35" t="n"/>
      <c r="D141" s="36" t="n"/>
      <c r="E141" s="37" t="n"/>
      <c r="F141" s="37" t="n"/>
      <c r="G141" s="38" t="n"/>
      <c r="H141" s="39" t="n"/>
      <c r="I141" s="38" t="n"/>
      <c r="J141" s="37" t="n"/>
      <c r="K141" s="38" t="n"/>
      <c r="L141" s="35" t="n"/>
      <c r="M141" s="35" t="n"/>
      <c r="N141" s="35" t="n"/>
    </row>
    <row r="142">
      <c r="A142" s="35" t="n"/>
      <c r="B142" s="35" t="n"/>
      <c r="C142" s="35" t="n"/>
      <c r="D142" s="36" t="n"/>
      <c r="E142" s="37" t="n"/>
      <c r="F142" s="37" t="n"/>
      <c r="G142" s="38" t="n"/>
      <c r="H142" s="39" t="n"/>
      <c r="I142" s="38" t="n"/>
      <c r="J142" s="37" t="n"/>
      <c r="K142" s="38" t="n"/>
      <c r="L142" s="35" t="n"/>
      <c r="M142" s="35" t="n"/>
      <c r="N142" s="35" t="n"/>
    </row>
    <row r="143">
      <c r="A143" s="35" t="n"/>
      <c r="B143" s="35" t="n"/>
      <c r="C143" s="35" t="n"/>
      <c r="D143" s="36" t="n"/>
      <c r="E143" s="37" t="n"/>
      <c r="F143" s="37" t="n"/>
      <c r="G143" s="38" t="n"/>
      <c r="H143" s="39" t="n"/>
      <c r="I143" s="38" t="n"/>
      <c r="J143" s="37" t="n"/>
      <c r="K143" s="38" t="n"/>
      <c r="L143" s="35" t="n"/>
      <c r="M143" s="35" t="n"/>
      <c r="N143" s="35" t="n"/>
    </row>
    <row r="144">
      <c r="A144" s="35" t="n"/>
      <c r="B144" s="35" t="n"/>
      <c r="C144" s="35" t="n"/>
      <c r="D144" s="36" t="n"/>
      <c r="E144" s="37" t="n"/>
      <c r="F144" s="37" t="n"/>
      <c r="G144" s="38" t="n"/>
      <c r="H144" s="39" t="n"/>
      <c r="I144" s="38" t="n"/>
      <c r="J144" s="37" t="n"/>
      <c r="K144" s="38" t="n"/>
      <c r="L144" s="35" t="n"/>
      <c r="M144" s="35" t="n"/>
      <c r="N144" s="35" t="n"/>
    </row>
    <row r="145">
      <c r="A145" s="35" t="n"/>
      <c r="B145" s="35" t="n"/>
      <c r="C145" s="35" t="n"/>
      <c r="D145" s="36" t="n"/>
      <c r="E145" s="37" t="n"/>
      <c r="F145" s="37" t="n"/>
      <c r="G145" s="38" t="n"/>
      <c r="H145" s="39" t="n"/>
      <c r="I145" s="38" t="n"/>
      <c r="J145" s="37" t="n"/>
      <c r="K145" s="38" t="n"/>
      <c r="L145" s="35" t="n"/>
      <c r="M145" s="35" t="n"/>
      <c r="N145" s="35" t="n"/>
    </row>
    <row r="146">
      <c r="A146" s="35" t="n"/>
      <c r="B146" s="35" t="n"/>
      <c r="C146" s="35" t="n"/>
      <c r="D146" s="36" t="n"/>
      <c r="E146" s="37" t="n"/>
      <c r="F146" s="37" t="n"/>
      <c r="G146" s="38" t="n"/>
      <c r="H146" s="39" t="n"/>
      <c r="I146" s="38" t="n"/>
      <c r="J146" s="37" t="n"/>
      <c r="K146" s="38" t="n"/>
      <c r="L146" s="35" t="n"/>
      <c r="M146" s="35" t="n"/>
      <c r="N146" s="35" t="n"/>
    </row>
    <row r="147">
      <c r="A147" s="35" t="n"/>
      <c r="B147" s="35" t="n"/>
      <c r="C147" s="35" t="n"/>
      <c r="D147" s="36" t="n"/>
      <c r="E147" s="37" t="n"/>
      <c r="F147" s="37" t="n"/>
      <c r="G147" s="38" t="n"/>
      <c r="H147" s="39" t="n"/>
      <c r="I147" s="38" t="n"/>
      <c r="J147" s="37" t="n"/>
      <c r="K147" s="38" t="n"/>
      <c r="L147" s="35" t="n"/>
      <c r="M147" s="35" t="n"/>
      <c r="N147" s="35" t="n"/>
    </row>
    <row r="148">
      <c r="A148" s="35" t="n"/>
      <c r="B148" s="35" t="n"/>
      <c r="C148" s="35" t="n"/>
      <c r="D148" s="36" t="n"/>
      <c r="E148" s="37" t="n"/>
      <c r="F148" s="37" t="n"/>
      <c r="G148" s="38" t="n"/>
      <c r="H148" s="39" t="n"/>
      <c r="I148" s="38" t="n"/>
      <c r="J148" s="37" t="n"/>
      <c r="K148" s="38" t="n"/>
      <c r="L148" s="35" t="n"/>
      <c r="M148" s="35" t="n"/>
      <c r="N148" s="35" t="n"/>
    </row>
    <row r="149">
      <c r="A149" s="35" t="n"/>
      <c r="B149" s="35" t="n"/>
      <c r="C149" s="35" t="n"/>
      <c r="D149" s="36" t="n"/>
      <c r="E149" s="37" t="n"/>
      <c r="F149" s="37" t="n"/>
      <c r="G149" s="38" t="n"/>
      <c r="H149" s="39" t="n"/>
      <c r="I149" s="38" t="n"/>
      <c r="J149" s="37" t="n"/>
      <c r="K149" s="38" t="n"/>
      <c r="L149" s="35" t="n"/>
      <c r="M149" s="35" t="n"/>
      <c r="N149" s="35" t="n"/>
    </row>
    <row r="150">
      <c r="A150" s="35" t="n"/>
      <c r="B150" s="35" t="n"/>
      <c r="C150" s="35" t="n"/>
      <c r="D150" s="36" t="n"/>
      <c r="E150" s="37" t="n"/>
      <c r="F150" s="37" t="n"/>
      <c r="G150" s="38" t="n"/>
      <c r="H150" s="39" t="n"/>
      <c r="I150" s="38" t="n"/>
      <c r="J150" s="37" t="n"/>
      <c r="K150" s="38" t="n"/>
      <c r="L150" s="35" t="n"/>
      <c r="M150" s="35" t="n"/>
      <c r="N150" s="35" t="n"/>
    </row>
    <row r="151">
      <c r="A151" s="35" t="n"/>
      <c r="B151" s="35" t="n"/>
      <c r="C151" s="35" t="n"/>
      <c r="D151" s="36" t="n"/>
      <c r="E151" s="37" t="n"/>
      <c r="F151" s="37" t="n"/>
      <c r="G151" s="38" t="n"/>
      <c r="H151" s="39" t="n"/>
      <c r="I151" s="38" t="n"/>
      <c r="J151" s="37" t="n"/>
      <c r="K151" s="38" t="n"/>
      <c r="L151" s="35" t="n"/>
      <c r="M151" s="35" t="n"/>
      <c r="N151" s="35" t="n"/>
    </row>
    <row r="152">
      <c r="A152" s="35" t="n"/>
      <c r="B152" s="35" t="n"/>
      <c r="C152" s="35" t="n"/>
      <c r="D152" s="36" t="n"/>
      <c r="E152" s="37" t="n"/>
      <c r="F152" s="37" t="n"/>
      <c r="G152" s="38" t="n"/>
      <c r="H152" s="39" t="n"/>
      <c r="I152" s="38" t="n"/>
      <c r="J152" s="37" t="n"/>
      <c r="K152" s="38" t="n"/>
      <c r="L152" s="35" t="n"/>
      <c r="M152" s="35" t="n"/>
      <c r="N152" s="35" t="n"/>
    </row>
    <row r="153">
      <c r="A153" s="35" t="n"/>
      <c r="B153" s="35" t="n"/>
      <c r="C153" s="35" t="n"/>
      <c r="D153" s="36" t="n"/>
      <c r="E153" s="37" t="n"/>
      <c r="F153" s="37" t="n"/>
      <c r="G153" s="38" t="n"/>
      <c r="H153" s="39" t="n"/>
      <c r="I153" s="38" t="n"/>
      <c r="J153" s="37" t="n"/>
      <c r="K153" s="38" t="n"/>
      <c r="L153" s="35" t="n"/>
      <c r="M153" s="35" t="n"/>
      <c r="N153" s="35" t="n"/>
    </row>
    <row r="154">
      <c r="A154" s="35" t="n"/>
      <c r="B154" s="35" t="n"/>
      <c r="C154" s="35" t="n"/>
      <c r="D154" s="36" t="n"/>
      <c r="E154" s="37" t="n"/>
      <c r="F154" s="37" t="n"/>
      <c r="G154" s="38" t="n"/>
      <c r="H154" s="39" t="n"/>
      <c r="I154" s="38" t="n"/>
      <c r="J154" s="37" t="n"/>
      <c r="K154" s="38" t="n"/>
      <c r="L154" s="35" t="n"/>
      <c r="M154" s="35" t="n"/>
      <c r="N154" s="35" t="n"/>
    </row>
    <row r="155">
      <c r="A155" s="35" t="n"/>
      <c r="B155" s="35" t="n"/>
      <c r="C155" s="35" t="n"/>
      <c r="D155" s="36" t="n"/>
      <c r="E155" s="37" t="n"/>
      <c r="F155" s="37" t="n"/>
      <c r="G155" s="38" t="n"/>
      <c r="H155" s="39" t="n"/>
      <c r="I155" s="38" t="n"/>
      <c r="J155" s="37" t="n"/>
      <c r="K155" s="38" t="n"/>
      <c r="L155" s="35" t="n"/>
      <c r="M155" s="35" t="n"/>
      <c r="N155" s="35" t="n"/>
    </row>
    <row r="156">
      <c r="A156" s="35" t="n"/>
      <c r="B156" s="35" t="n"/>
      <c r="C156" s="35" t="n"/>
      <c r="D156" s="36" t="n"/>
      <c r="E156" s="37" t="n"/>
      <c r="F156" s="37" t="n"/>
      <c r="G156" s="38" t="n"/>
      <c r="H156" s="39" t="n"/>
      <c r="I156" s="38" t="n"/>
      <c r="J156" s="37" t="n"/>
      <c r="K156" s="38" t="n"/>
      <c r="L156" s="35" t="n"/>
      <c r="M156" s="35" t="n"/>
      <c r="N156" s="35" t="n"/>
    </row>
    <row r="157">
      <c r="A157" s="35" t="n"/>
      <c r="B157" s="35" t="n"/>
      <c r="C157" s="35" t="n"/>
      <c r="D157" s="36" t="n"/>
      <c r="E157" s="37" t="n"/>
      <c r="F157" s="37" t="n"/>
      <c r="G157" s="38" t="n"/>
      <c r="H157" s="39" t="n"/>
      <c r="I157" s="38" t="n"/>
      <c r="J157" s="37" t="n"/>
      <c r="K157" s="38" t="n"/>
      <c r="L157" s="35" t="n"/>
      <c r="M157" s="35" t="n"/>
      <c r="N157" s="35" t="n"/>
    </row>
    <row r="158">
      <c r="A158" s="35" t="n"/>
      <c r="B158" s="35" t="n"/>
      <c r="C158" s="35" t="n"/>
      <c r="D158" s="36" t="n"/>
      <c r="E158" s="37" t="n"/>
      <c r="F158" s="37" t="n"/>
      <c r="G158" s="38" t="n"/>
      <c r="H158" s="39" t="n"/>
      <c r="I158" s="38" t="n"/>
      <c r="J158" s="37" t="n"/>
      <c r="K158" s="38" t="n"/>
      <c r="L158" s="35" t="n"/>
      <c r="M158" s="35" t="n"/>
      <c r="N158" s="35" t="n"/>
    </row>
    <row r="159">
      <c r="A159" s="35" t="n"/>
      <c r="B159" s="35" t="n"/>
      <c r="C159" s="35" t="n"/>
      <c r="D159" s="36" t="n"/>
      <c r="E159" s="37" t="n"/>
      <c r="F159" s="37" t="n"/>
      <c r="G159" s="38" t="n"/>
      <c r="H159" s="39" t="n"/>
      <c r="I159" s="38" t="n"/>
      <c r="J159" s="37" t="n"/>
      <c r="K159" s="38" t="n"/>
      <c r="L159" s="35" t="n"/>
      <c r="M159" s="35" t="n"/>
      <c r="N159" s="35" t="n"/>
    </row>
    <row r="160">
      <c r="A160" s="35" t="n"/>
      <c r="B160" s="35" t="n"/>
      <c r="C160" s="35" t="n"/>
      <c r="D160" s="36" t="n"/>
      <c r="E160" s="37" t="n"/>
      <c r="F160" s="37" t="n"/>
      <c r="G160" s="38" t="n"/>
      <c r="H160" s="39" t="n"/>
      <c r="I160" s="38" t="n"/>
      <c r="J160" s="37" t="n"/>
      <c r="K160" s="38" t="n"/>
      <c r="L160" s="35" t="n"/>
      <c r="M160" s="35" t="n"/>
      <c r="N160" s="35" t="n"/>
    </row>
    <row r="161">
      <c r="A161" s="35" t="n"/>
      <c r="B161" s="35" t="n"/>
      <c r="C161" s="35" t="n"/>
      <c r="D161" s="36" t="n"/>
      <c r="E161" s="37" t="n"/>
      <c r="F161" s="37" t="n"/>
      <c r="G161" s="38" t="n"/>
      <c r="H161" s="39" t="n"/>
      <c r="I161" s="38" t="n"/>
      <c r="J161" s="37" t="n"/>
      <c r="K161" s="38" t="n"/>
      <c r="L161" s="35" t="n"/>
      <c r="M161" s="35" t="n"/>
      <c r="N161" s="35" t="n"/>
    </row>
    <row r="162">
      <c r="A162" s="35" t="n"/>
      <c r="B162" s="35" t="n"/>
      <c r="C162" s="35" t="n"/>
      <c r="D162" s="36" t="n"/>
      <c r="E162" s="37" t="n"/>
      <c r="F162" s="37" t="n"/>
      <c r="G162" s="38" t="n"/>
      <c r="H162" s="39" t="n"/>
      <c r="I162" s="38" t="n"/>
      <c r="J162" s="37" t="n"/>
      <c r="K162" s="38" t="n"/>
      <c r="L162" s="35" t="n"/>
      <c r="M162" s="35" t="n"/>
      <c r="N162" s="35" t="n"/>
    </row>
    <row r="163">
      <c r="A163" s="35" t="n"/>
      <c r="B163" s="35" t="n"/>
      <c r="C163" s="35" t="n"/>
      <c r="D163" s="36" t="n"/>
      <c r="E163" s="37" t="n"/>
      <c r="F163" s="37" t="n"/>
      <c r="G163" s="38" t="n"/>
      <c r="H163" s="39" t="n"/>
      <c r="I163" s="38" t="n"/>
      <c r="J163" s="37" t="n"/>
      <c r="K163" s="38" t="n"/>
      <c r="L163" s="35" t="n"/>
      <c r="M163" s="35" t="n"/>
      <c r="N163" s="35" t="n"/>
    </row>
    <row r="164">
      <c r="A164" s="35" t="n"/>
      <c r="B164" s="35" t="n"/>
      <c r="C164" s="35" t="n"/>
      <c r="D164" s="36" t="n"/>
      <c r="E164" s="37" t="n"/>
      <c r="F164" s="37" t="n"/>
      <c r="G164" s="38" t="n"/>
      <c r="H164" s="39" t="n"/>
      <c r="I164" s="38" t="n"/>
      <c r="J164" s="37" t="n"/>
      <c r="K164" s="38" t="n"/>
      <c r="L164" s="35" t="n"/>
      <c r="M164" s="35" t="n"/>
      <c r="N164" s="35" t="n"/>
    </row>
    <row r="165">
      <c r="A165" s="35" t="n"/>
      <c r="B165" s="35" t="n"/>
      <c r="C165" s="35" t="n"/>
      <c r="D165" s="36" t="n"/>
      <c r="E165" s="37" t="n"/>
      <c r="F165" s="37" t="n"/>
      <c r="G165" s="38" t="n"/>
      <c r="H165" s="39" t="n"/>
      <c r="I165" s="38" t="n"/>
      <c r="J165" s="37" t="n"/>
      <c r="K165" s="38" t="n"/>
      <c r="L165" s="35" t="n"/>
      <c r="M165" s="35" t="n"/>
      <c r="N165" s="35" t="n"/>
    </row>
    <row r="166">
      <c r="A166" s="35" t="n"/>
      <c r="B166" s="35" t="n"/>
      <c r="C166" s="35" t="n"/>
      <c r="D166" s="36" t="n"/>
      <c r="E166" s="37" t="n"/>
      <c r="F166" s="37" t="n"/>
      <c r="G166" s="38" t="n"/>
      <c r="H166" s="39" t="n"/>
      <c r="I166" s="38" t="n"/>
      <c r="J166" s="37" t="n"/>
      <c r="K166" s="38" t="n"/>
      <c r="L166" s="35" t="n"/>
      <c r="M166" s="35" t="n"/>
      <c r="N166" s="35" t="n"/>
    </row>
    <row r="167">
      <c r="A167" s="35" t="n"/>
      <c r="B167" s="35" t="n"/>
      <c r="C167" s="35" t="n"/>
      <c r="D167" s="36" t="n"/>
      <c r="E167" s="37" t="n"/>
      <c r="F167" s="37" t="n"/>
      <c r="G167" s="38" t="n"/>
      <c r="H167" s="39" t="n"/>
      <c r="I167" s="38" t="n"/>
      <c r="J167" s="37" t="n"/>
      <c r="K167" s="38" t="n"/>
      <c r="L167" s="35" t="n"/>
      <c r="M167" s="35" t="n"/>
      <c r="N167" s="35" t="n"/>
    </row>
    <row r="168">
      <c r="A168" s="35" t="n"/>
      <c r="B168" s="35" t="n"/>
      <c r="C168" s="35" t="n"/>
      <c r="D168" s="36" t="n"/>
      <c r="E168" s="37" t="n"/>
      <c r="F168" s="37" t="n"/>
      <c r="G168" s="38" t="n"/>
      <c r="H168" s="39" t="n"/>
      <c r="I168" s="38" t="n"/>
      <c r="J168" s="37" t="n"/>
      <c r="K168" s="38" t="n"/>
      <c r="L168" s="35" t="n"/>
      <c r="M168" s="35" t="n"/>
      <c r="N168" s="35" t="n"/>
    </row>
    <row r="169">
      <c r="A169" s="35" t="n"/>
      <c r="B169" s="35" t="n"/>
      <c r="C169" s="35" t="n"/>
      <c r="D169" s="36" t="n"/>
      <c r="E169" s="37" t="n"/>
      <c r="F169" s="37" t="n"/>
      <c r="G169" s="38" t="n"/>
      <c r="H169" s="39" t="n"/>
      <c r="I169" s="38" t="n"/>
      <c r="J169" s="37" t="n"/>
      <c r="K169" s="38" t="n"/>
      <c r="L169" s="35" t="n"/>
      <c r="M169" s="35" t="n"/>
      <c r="N169" s="35" t="n"/>
    </row>
    <row r="170">
      <c r="A170" s="35" t="n"/>
      <c r="B170" s="35" t="n"/>
      <c r="C170" s="35" t="n"/>
      <c r="D170" s="36" t="n"/>
      <c r="E170" s="37" t="n"/>
      <c r="F170" s="37" t="n"/>
      <c r="G170" s="38" t="n"/>
      <c r="H170" s="39" t="n"/>
      <c r="I170" s="38" t="n"/>
      <c r="J170" s="37" t="n"/>
      <c r="K170" s="38" t="n"/>
      <c r="L170" s="35" t="n"/>
      <c r="M170" s="35" t="n"/>
      <c r="N170" s="35" t="n"/>
    </row>
    <row r="171">
      <c r="A171" s="35" t="n"/>
      <c r="B171" s="35" t="n"/>
      <c r="C171" s="35" t="n"/>
      <c r="D171" s="36" t="n"/>
      <c r="E171" s="37" t="n"/>
      <c r="F171" s="37" t="n"/>
      <c r="G171" s="38" t="n"/>
      <c r="H171" s="39" t="n"/>
      <c r="I171" s="38" t="n"/>
      <c r="J171" s="37" t="n"/>
      <c r="K171" s="38" t="n"/>
      <c r="L171" s="35" t="n"/>
      <c r="M171" s="35" t="n"/>
      <c r="N171" s="35" t="n"/>
    </row>
    <row r="172">
      <c r="A172" s="35" t="n"/>
      <c r="B172" s="35" t="n"/>
      <c r="C172" s="35" t="n"/>
      <c r="D172" s="36" t="n"/>
      <c r="E172" s="37" t="n"/>
      <c r="F172" s="37" t="n"/>
      <c r="G172" s="38" t="n"/>
      <c r="H172" s="39" t="n"/>
      <c r="I172" s="38" t="n"/>
      <c r="J172" s="37" t="n"/>
      <c r="K172" s="38" t="n"/>
      <c r="L172" s="35" t="n"/>
      <c r="M172" s="35" t="n"/>
      <c r="N172" s="35" t="n"/>
    </row>
    <row r="173">
      <c r="A173" s="35" t="n"/>
      <c r="B173" s="35" t="n"/>
      <c r="C173" s="35" t="n"/>
      <c r="D173" s="36" t="n"/>
      <c r="E173" s="37" t="n"/>
      <c r="F173" s="37" t="n"/>
      <c r="G173" s="38" t="n"/>
      <c r="H173" s="39" t="n"/>
      <c r="I173" s="38" t="n"/>
      <c r="J173" s="37" t="n"/>
      <c r="K173" s="38" t="n"/>
      <c r="L173" s="35" t="n"/>
      <c r="M173" s="35" t="n"/>
      <c r="N173" s="35" t="n"/>
    </row>
    <row r="174">
      <c r="A174" s="35" t="n"/>
      <c r="B174" s="35" t="n"/>
      <c r="C174" s="35" t="n"/>
      <c r="D174" s="36" t="n"/>
      <c r="E174" s="37" t="n"/>
      <c r="F174" s="37" t="n"/>
      <c r="G174" s="38" t="n"/>
      <c r="H174" s="39" t="n"/>
      <c r="I174" s="38" t="n"/>
      <c r="J174" s="37" t="n"/>
      <c r="K174" s="38" t="n"/>
      <c r="L174" s="35" t="n"/>
      <c r="M174" s="35" t="n"/>
      <c r="N174" s="35" t="n"/>
    </row>
    <row r="175">
      <c r="A175" s="35" t="n"/>
      <c r="B175" s="35" t="n"/>
      <c r="C175" s="35" t="n"/>
      <c r="D175" s="36" t="n"/>
      <c r="E175" s="37" t="n"/>
      <c r="F175" s="37" t="n"/>
      <c r="G175" s="38" t="n"/>
      <c r="H175" s="39" t="n"/>
      <c r="I175" s="38" t="n"/>
      <c r="J175" s="37" t="n"/>
      <c r="K175" s="38" t="n"/>
      <c r="L175" s="35" t="n"/>
      <c r="M175" s="35" t="n"/>
      <c r="N175" s="35" t="n"/>
    </row>
    <row r="176">
      <c r="A176" s="35" t="n"/>
      <c r="B176" s="35" t="n"/>
      <c r="C176" s="35" t="n"/>
      <c r="D176" s="36" t="n"/>
      <c r="E176" s="37" t="n"/>
      <c r="F176" s="37" t="n"/>
      <c r="G176" s="38" t="n"/>
      <c r="H176" s="39" t="n"/>
      <c r="I176" s="38" t="n"/>
      <c r="J176" s="37" t="n"/>
      <c r="K176" s="38" t="n"/>
      <c r="L176" s="35" t="n"/>
      <c r="M176" s="35" t="n"/>
      <c r="N176" s="35" t="n"/>
    </row>
    <row r="177">
      <c r="A177" s="35" t="n"/>
      <c r="B177" s="35" t="n"/>
      <c r="C177" s="35" t="n"/>
      <c r="D177" s="36" t="n"/>
      <c r="E177" s="37" t="n"/>
      <c r="F177" s="37" t="n"/>
      <c r="G177" s="38" t="n"/>
      <c r="H177" s="39" t="n"/>
      <c r="I177" s="38" t="n"/>
      <c r="J177" s="37" t="n"/>
      <c r="K177" s="38" t="n"/>
      <c r="L177" s="35" t="n"/>
      <c r="M177" s="35" t="n"/>
      <c r="N177" s="35" t="n"/>
    </row>
    <row r="178">
      <c r="A178" s="35" t="n"/>
      <c r="B178" s="35" t="n"/>
      <c r="C178" s="35" t="n"/>
      <c r="D178" s="36" t="n"/>
      <c r="E178" s="37" t="n"/>
      <c r="F178" s="37" t="n"/>
      <c r="G178" s="38" t="n"/>
      <c r="H178" s="39" t="n"/>
      <c r="I178" s="38" t="n"/>
      <c r="J178" s="37" t="n"/>
      <c r="K178" s="38" t="n"/>
      <c r="L178" s="35" t="n"/>
      <c r="M178" s="35" t="n"/>
      <c r="N178" s="35" t="n"/>
    </row>
    <row r="179">
      <c r="A179" s="35" t="n"/>
      <c r="B179" s="35" t="n"/>
      <c r="C179" s="35" t="n"/>
      <c r="D179" s="36" t="n"/>
      <c r="E179" s="37" t="n"/>
      <c r="F179" s="37" t="n"/>
      <c r="G179" s="38" t="n"/>
      <c r="H179" s="39" t="n"/>
      <c r="I179" s="38" t="n"/>
      <c r="J179" s="37" t="n"/>
      <c r="K179" s="38" t="n"/>
      <c r="L179" s="35" t="n"/>
      <c r="M179" s="35" t="n"/>
      <c r="N179" s="35" t="n"/>
    </row>
    <row r="180">
      <c r="A180" s="35" t="n"/>
      <c r="B180" s="35" t="n"/>
      <c r="C180" s="35" t="n"/>
      <c r="D180" s="36" t="n"/>
      <c r="E180" s="37" t="n"/>
      <c r="F180" s="37" t="n"/>
      <c r="G180" s="38" t="n"/>
      <c r="H180" s="39" t="n"/>
      <c r="I180" s="38" t="n"/>
      <c r="J180" s="37" t="n"/>
      <c r="K180" s="38" t="n"/>
      <c r="L180" s="35" t="n"/>
      <c r="M180" s="35" t="n"/>
      <c r="N180" s="35" t="n"/>
    </row>
    <row r="181">
      <c r="A181" s="35" t="n"/>
      <c r="B181" s="35" t="n"/>
      <c r="C181" s="35" t="n"/>
      <c r="D181" s="36" t="n"/>
      <c r="E181" s="37" t="n"/>
      <c r="F181" s="37" t="n"/>
      <c r="G181" s="38" t="n"/>
      <c r="H181" s="39" t="n"/>
      <c r="I181" s="38" t="n"/>
      <c r="J181" s="37" t="n"/>
      <c r="K181" s="38" t="n"/>
      <c r="L181" s="35" t="n"/>
      <c r="M181" s="35" t="n"/>
      <c r="N181" s="35" t="n"/>
    </row>
    <row r="182">
      <c r="A182" s="35" t="n"/>
      <c r="B182" s="35" t="n"/>
      <c r="C182" s="35" t="n"/>
      <c r="D182" s="36" t="n"/>
      <c r="E182" s="37" t="n"/>
      <c r="F182" s="37" t="n"/>
      <c r="G182" s="38" t="n"/>
      <c r="H182" s="39" t="n"/>
      <c r="I182" s="38" t="n"/>
      <c r="J182" s="37" t="n"/>
      <c r="K182" s="38" t="n"/>
      <c r="L182" s="35" t="n"/>
      <c r="M182" s="35" t="n"/>
      <c r="N182" s="35" t="n"/>
    </row>
    <row r="183">
      <c r="A183" s="35" t="n"/>
      <c r="B183" s="35" t="n"/>
      <c r="C183" s="35" t="n"/>
      <c r="D183" s="36" t="n"/>
      <c r="E183" s="37" t="n"/>
      <c r="F183" s="37" t="n"/>
      <c r="G183" s="38" t="n"/>
      <c r="H183" s="39" t="n"/>
      <c r="I183" s="38" t="n"/>
      <c r="J183" s="37" t="n"/>
      <c r="K183" s="38" t="n"/>
      <c r="L183" s="35" t="n"/>
      <c r="M183" s="35" t="n"/>
      <c r="N183" s="35" t="n"/>
    </row>
    <row r="184">
      <c r="A184" s="35" t="n"/>
      <c r="B184" s="35" t="n"/>
      <c r="C184" s="35" t="n"/>
      <c r="D184" s="36" t="n"/>
      <c r="E184" s="37" t="n"/>
      <c r="F184" s="37" t="n"/>
      <c r="G184" s="38" t="n"/>
      <c r="H184" s="39" t="n"/>
      <c r="I184" s="38" t="n"/>
      <c r="J184" s="37" t="n"/>
      <c r="K184" s="38" t="n"/>
      <c r="L184" s="35" t="n"/>
      <c r="M184" s="35" t="n"/>
      <c r="N184" s="35" t="n"/>
    </row>
    <row r="185">
      <c r="A185" s="35" t="n"/>
      <c r="B185" s="35" t="n"/>
      <c r="C185" s="35" t="n"/>
      <c r="D185" s="36" t="n"/>
      <c r="E185" s="37" t="n"/>
      <c r="F185" s="37" t="n"/>
      <c r="G185" s="38" t="n"/>
      <c r="H185" s="39" t="n"/>
      <c r="I185" s="38" t="n"/>
      <c r="J185" s="37" t="n"/>
      <c r="K185" s="38" t="n"/>
      <c r="L185" s="35" t="n"/>
      <c r="M185" s="35" t="n"/>
      <c r="N185" s="35" t="n"/>
    </row>
    <row r="186">
      <c r="A186" s="35" t="n"/>
      <c r="B186" s="35" t="n"/>
      <c r="C186" s="35" t="n"/>
      <c r="D186" s="36" t="n"/>
      <c r="E186" s="37" t="n"/>
      <c r="F186" s="37" t="n"/>
      <c r="G186" s="38" t="n"/>
      <c r="H186" s="39" t="n"/>
      <c r="I186" s="38" t="n"/>
      <c r="J186" s="37" t="n"/>
      <c r="K186" s="38" t="n"/>
      <c r="L186" s="35" t="n"/>
      <c r="M186" s="35" t="n"/>
      <c r="N186" s="35" t="n"/>
    </row>
    <row r="187">
      <c r="A187" s="35" t="n"/>
      <c r="B187" s="35" t="n"/>
      <c r="C187" s="35" t="n"/>
      <c r="D187" s="36" t="n"/>
      <c r="E187" s="37" t="n"/>
      <c r="F187" s="37" t="n"/>
      <c r="G187" s="38" t="n"/>
      <c r="H187" s="39" t="n"/>
      <c r="I187" s="38" t="n"/>
      <c r="J187" s="37" t="n"/>
      <c r="K187" s="38" t="n"/>
      <c r="L187" s="35" t="n"/>
      <c r="M187" s="35" t="n"/>
      <c r="N187" s="35" t="n"/>
    </row>
    <row r="188">
      <c r="A188" s="35" t="n"/>
      <c r="B188" s="35" t="n"/>
      <c r="C188" s="35" t="n"/>
      <c r="D188" s="36" t="n"/>
      <c r="E188" s="37" t="n"/>
      <c r="F188" s="37" t="n"/>
      <c r="G188" s="38" t="n"/>
      <c r="H188" s="39" t="n"/>
      <c r="I188" s="38" t="n"/>
      <c r="J188" s="37" t="n"/>
      <c r="K188" s="38" t="n"/>
      <c r="L188" s="35" t="n"/>
      <c r="M188" s="35" t="n"/>
      <c r="N188" s="35" t="n"/>
    </row>
    <row r="189">
      <c r="A189" s="35" t="n"/>
      <c r="B189" s="35" t="n"/>
      <c r="C189" s="35" t="n"/>
      <c r="D189" s="36" t="n"/>
      <c r="E189" s="37" t="n"/>
      <c r="F189" s="37" t="n"/>
      <c r="G189" s="38" t="n"/>
      <c r="H189" s="39" t="n"/>
      <c r="I189" s="38" t="n"/>
      <c r="J189" s="37" t="n"/>
      <c r="K189" s="38" t="n"/>
      <c r="L189" s="35" t="n"/>
      <c r="M189" s="35" t="n"/>
      <c r="N189" s="35" t="n"/>
    </row>
    <row r="190">
      <c r="A190" s="35" t="n"/>
      <c r="B190" s="35" t="n"/>
      <c r="C190" s="35" t="n"/>
      <c r="D190" s="36" t="n"/>
      <c r="E190" s="37" t="n"/>
      <c r="F190" s="37" t="n"/>
      <c r="G190" s="38" t="n"/>
      <c r="H190" s="39" t="n"/>
      <c r="I190" s="38" t="n"/>
      <c r="J190" s="37" t="n"/>
      <c r="K190" s="38" t="n"/>
      <c r="L190" s="35" t="n"/>
      <c r="M190" s="35" t="n"/>
      <c r="N190" s="35" t="n"/>
    </row>
    <row r="191">
      <c r="A191" s="35" t="n"/>
      <c r="B191" s="35" t="n"/>
      <c r="C191" s="35" t="n"/>
      <c r="D191" s="36" t="n"/>
      <c r="E191" s="37" t="n"/>
      <c r="F191" s="37" t="n"/>
      <c r="G191" s="38" t="n"/>
      <c r="H191" s="39" t="n"/>
      <c r="I191" s="38" t="n"/>
      <c r="J191" s="37" t="n"/>
      <c r="K191" s="38" t="n"/>
      <c r="L191" s="35" t="n"/>
      <c r="M191" s="35" t="n"/>
      <c r="N191" s="35" t="n"/>
    </row>
    <row r="192">
      <c r="A192" s="35" t="n"/>
      <c r="B192" s="35" t="n"/>
      <c r="C192" s="35" t="n"/>
      <c r="D192" s="36" t="n"/>
      <c r="E192" s="37" t="n"/>
      <c r="F192" s="37" t="n"/>
      <c r="G192" s="38" t="n"/>
      <c r="H192" s="39" t="n"/>
      <c r="I192" s="38" t="n"/>
      <c r="J192" s="37" t="n"/>
      <c r="K192" s="38" t="n"/>
      <c r="L192" s="35" t="n"/>
      <c r="M192" s="35" t="n"/>
      <c r="N192" s="35" t="n"/>
    </row>
    <row r="193">
      <c r="A193" s="35" t="n"/>
      <c r="B193" s="35" t="n"/>
      <c r="C193" s="35" t="n"/>
      <c r="D193" s="36" t="n"/>
      <c r="E193" s="37" t="n"/>
      <c r="F193" s="37" t="n"/>
      <c r="G193" s="38" t="n"/>
      <c r="H193" s="39" t="n"/>
      <c r="I193" s="38" t="n"/>
      <c r="J193" s="37" t="n"/>
      <c r="K193" s="38" t="n"/>
      <c r="L193" s="35" t="n"/>
      <c r="M193" s="35" t="n"/>
      <c r="N193" s="35" t="n"/>
    </row>
    <row r="194">
      <c r="A194" s="35" t="n"/>
      <c r="B194" s="35" t="n"/>
      <c r="C194" s="35" t="n"/>
      <c r="D194" s="36" t="n"/>
      <c r="E194" s="37" t="n"/>
      <c r="F194" s="37" t="n"/>
      <c r="G194" s="38" t="n"/>
      <c r="H194" s="39" t="n"/>
      <c r="I194" s="38" t="n"/>
      <c r="J194" s="37" t="n"/>
      <c r="K194" s="38" t="n"/>
      <c r="L194" s="35" t="n"/>
      <c r="M194" s="35" t="n"/>
      <c r="N194" s="35" t="n"/>
    </row>
    <row r="195">
      <c r="A195" s="35" t="n"/>
      <c r="B195" s="35" t="n"/>
      <c r="C195" s="35" t="n"/>
      <c r="D195" s="36" t="n"/>
      <c r="E195" s="37" t="n"/>
      <c r="F195" s="37" t="n"/>
      <c r="G195" s="38" t="n"/>
      <c r="H195" s="39" t="n"/>
      <c r="I195" s="38" t="n"/>
      <c r="J195" s="37" t="n"/>
      <c r="K195" s="38" t="n"/>
      <c r="L195" s="35" t="n"/>
      <c r="M195" s="35" t="n"/>
      <c r="N195" s="35" t="n"/>
    </row>
    <row r="196">
      <c r="A196" s="35" t="n"/>
      <c r="B196" s="35" t="n"/>
      <c r="C196" s="35" t="n"/>
      <c r="D196" s="36" t="n"/>
      <c r="E196" s="37" t="n"/>
      <c r="F196" s="37" t="n"/>
      <c r="G196" s="38" t="n"/>
      <c r="H196" s="39" t="n"/>
      <c r="I196" s="38" t="n"/>
      <c r="J196" s="37" t="n"/>
      <c r="K196" s="38" t="n"/>
      <c r="L196" s="35" t="n"/>
      <c r="M196" s="35" t="n"/>
      <c r="N196" s="35" t="n"/>
    </row>
    <row r="197">
      <c r="A197" s="35" t="n"/>
      <c r="B197" s="35" t="n"/>
      <c r="C197" s="35" t="n"/>
      <c r="D197" s="36" t="n"/>
      <c r="E197" s="37" t="n"/>
      <c r="F197" s="37" t="n"/>
      <c r="G197" s="38" t="n"/>
      <c r="H197" s="39" t="n"/>
      <c r="I197" s="38" t="n"/>
      <c r="J197" s="37" t="n"/>
      <c r="K197" s="38" t="n"/>
      <c r="L197" s="35" t="n"/>
      <c r="M197" s="35" t="n"/>
      <c r="N197" s="35" t="n"/>
    </row>
    <row r="198">
      <c r="A198" s="35" t="n"/>
      <c r="B198" s="35" t="n"/>
      <c r="C198" s="35" t="n"/>
      <c r="D198" s="36" t="n"/>
      <c r="E198" s="37" t="n"/>
      <c r="F198" s="37" t="n"/>
      <c r="G198" s="38" t="n"/>
      <c r="H198" s="39" t="n"/>
      <c r="I198" s="38" t="n"/>
      <c r="J198" s="37" t="n"/>
      <c r="K198" s="38" t="n"/>
      <c r="L198" s="35" t="n"/>
      <c r="M198" s="35" t="n"/>
      <c r="N198" s="35" t="n"/>
    </row>
    <row r="199">
      <c r="A199" s="35" t="n"/>
      <c r="B199" s="35" t="n"/>
      <c r="C199" s="35" t="n"/>
      <c r="D199" s="36" t="n"/>
      <c r="E199" s="37" t="n"/>
      <c r="F199" s="37" t="n"/>
      <c r="G199" s="38" t="n"/>
      <c r="H199" s="39" t="n"/>
      <c r="I199" s="38" t="n"/>
      <c r="J199" s="37" t="n"/>
      <c r="K199" s="38" t="n"/>
      <c r="L199" s="35" t="n"/>
      <c r="M199" s="35" t="n"/>
      <c r="N199" s="35" t="n"/>
    </row>
    <row r="200">
      <c r="A200" s="35" t="n"/>
      <c r="B200" s="35" t="n"/>
      <c r="C200" s="35" t="n"/>
      <c r="D200" s="36" t="n"/>
      <c r="E200" s="37" t="n"/>
      <c r="F200" s="37" t="n"/>
      <c r="G200" s="38" t="n"/>
      <c r="H200" s="39" t="n"/>
      <c r="I200" s="38" t="n"/>
      <c r="J200" s="37" t="n"/>
      <c r="K200" s="38" t="n"/>
      <c r="L200" s="35" t="n"/>
      <c r="M200" s="35" t="n"/>
      <c r="N200" s="35" t="n"/>
    </row>
    <row r="201">
      <c r="A201" s="35" t="n"/>
      <c r="B201" s="35" t="n"/>
      <c r="C201" s="35" t="n"/>
      <c r="D201" s="36" t="n"/>
      <c r="E201" s="37" t="n"/>
      <c r="F201" s="37" t="n"/>
      <c r="G201" s="38" t="n"/>
      <c r="H201" s="39" t="n"/>
      <c r="I201" s="38" t="n"/>
      <c r="J201" s="37" t="n"/>
      <c r="K201" s="38" t="n"/>
      <c r="L201" s="35" t="n"/>
      <c r="M201" s="35" t="n"/>
      <c r="N201" s="35" t="n"/>
    </row>
    <row r="202">
      <c r="A202" s="35" t="n"/>
      <c r="B202" s="35" t="n"/>
      <c r="C202" s="35" t="n"/>
      <c r="D202" s="36" t="n"/>
      <c r="E202" s="37" t="n"/>
      <c r="F202" s="37" t="n"/>
      <c r="G202" s="38" t="n"/>
      <c r="H202" s="39" t="n"/>
      <c r="I202" s="38" t="n"/>
      <c r="J202" s="37" t="n"/>
      <c r="K202" s="38" t="n"/>
      <c r="L202" s="35" t="n"/>
      <c r="M202" s="35" t="n"/>
      <c r="N202" s="35" t="n"/>
    </row>
    <row r="203">
      <c r="A203" s="35" t="n"/>
      <c r="B203" s="35" t="n"/>
      <c r="C203" s="35" t="n"/>
      <c r="D203" s="36" t="n"/>
      <c r="E203" s="37" t="n"/>
      <c r="F203" s="37" t="n"/>
      <c r="G203" s="38" t="n"/>
      <c r="H203" s="39" t="n"/>
      <c r="I203" s="38" t="n"/>
      <c r="J203" s="37" t="n"/>
      <c r="K203" s="38" t="n"/>
      <c r="L203" s="35" t="n"/>
      <c r="M203" s="35" t="n"/>
      <c r="N203" s="35" t="n"/>
    </row>
    <row r="204">
      <c r="A204" s="35" t="n"/>
      <c r="B204" s="35" t="n"/>
      <c r="C204" s="35" t="n"/>
      <c r="D204" s="36" t="n"/>
      <c r="E204" s="37" t="n"/>
      <c r="F204" s="37" t="n"/>
      <c r="G204" s="38" t="n"/>
      <c r="H204" s="39" t="n"/>
      <c r="I204" s="38" t="n"/>
      <c r="J204" s="37" t="n"/>
      <c r="K204" s="38" t="n"/>
      <c r="L204" s="35" t="n"/>
      <c r="M204" s="35" t="n"/>
      <c r="N204" s="35" t="n"/>
    </row>
    <row r="205">
      <c r="A205" s="35" t="n"/>
      <c r="B205" s="35" t="n"/>
      <c r="C205" s="35" t="n"/>
      <c r="D205" s="36" t="n"/>
      <c r="E205" s="37" t="n"/>
      <c r="F205" s="37" t="n"/>
      <c r="G205" s="38" t="n"/>
      <c r="H205" s="39" t="n"/>
      <c r="I205" s="38" t="n"/>
      <c r="J205" s="37" t="n"/>
      <c r="K205" s="38" t="n"/>
      <c r="L205" s="35" t="n"/>
      <c r="M205" s="35" t="n"/>
      <c r="N205" s="35" t="n"/>
    </row>
    <row r="206">
      <c r="A206" s="35" t="n"/>
      <c r="B206" s="35" t="n"/>
      <c r="C206" s="35" t="n"/>
      <c r="D206" s="36" t="n"/>
      <c r="E206" s="37" t="n"/>
      <c r="F206" s="37" t="n"/>
      <c r="G206" s="38" t="n"/>
      <c r="H206" s="39" t="n"/>
      <c r="I206" s="38" t="n"/>
      <c r="J206" s="37" t="n"/>
      <c r="K206" s="38" t="n"/>
      <c r="L206" s="35" t="n"/>
      <c r="M206" s="35" t="n"/>
      <c r="N206" s="35" t="n"/>
    </row>
    <row r="207">
      <c r="A207" s="35" t="n"/>
      <c r="B207" s="35" t="n"/>
      <c r="C207" s="35" t="n"/>
      <c r="D207" s="36" t="n"/>
      <c r="E207" s="37" t="n"/>
      <c r="F207" s="37" t="n"/>
      <c r="G207" s="38" t="n"/>
      <c r="H207" s="39" t="n"/>
      <c r="I207" s="38" t="n"/>
      <c r="J207" s="37" t="n"/>
      <c r="K207" s="38" t="n"/>
      <c r="L207" s="35" t="n"/>
      <c r="M207" s="35" t="n"/>
      <c r="N207" s="35" t="n"/>
    </row>
    <row r="208">
      <c r="A208" s="35" t="n"/>
      <c r="B208" s="35" t="n"/>
      <c r="C208" s="35" t="n"/>
      <c r="D208" s="36" t="n"/>
      <c r="E208" s="37" t="n"/>
      <c r="F208" s="37" t="n"/>
      <c r="G208" s="38" t="n"/>
      <c r="H208" s="39" t="n"/>
      <c r="I208" s="38" t="n"/>
      <c r="J208" s="37" t="n"/>
      <c r="K208" s="38" t="n"/>
      <c r="L208" s="35" t="n"/>
      <c r="M208" s="35" t="n"/>
      <c r="N208" s="35" t="n"/>
    </row>
    <row r="209">
      <c r="A209" s="35" t="n"/>
      <c r="B209" s="35" t="n"/>
      <c r="C209" s="35" t="n"/>
      <c r="D209" s="36" t="n"/>
      <c r="E209" s="37" t="n"/>
      <c r="F209" s="37" t="n"/>
      <c r="G209" s="38" t="n"/>
      <c r="H209" s="39" t="n"/>
      <c r="I209" s="38" t="n"/>
      <c r="J209" s="37" t="n"/>
      <c r="K209" s="38" t="n"/>
      <c r="L209" s="35" t="n"/>
      <c r="M209" s="35" t="n"/>
      <c r="N209" s="35" t="n"/>
    </row>
    <row r="210">
      <c r="A210" s="35" t="n"/>
      <c r="B210" s="35" t="n"/>
      <c r="C210" s="35" t="n"/>
      <c r="D210" s="36" t="n"/>
      <c r="E210" s="37" t="n"/>
      <c r="F210" s="37" t="n"/>
      <c r="G210" s="38" t="n"/>
      <c r="H210" s="39" t="n"/>
      <c r="I210" s="38" t="n"/>
      <c r="J210" s="37" t="n"/>
      <c r="K210" s="38" t="n"/>
      <c r="L210" s="35" t="n"/>
      <c r="M210" s="35" t="n"/>
      <c r="N210" s="35" t="n"/>
    </row>
    <row r="211">
      <c r="A211" s="35" t="n"/>
      <c r="B211" s="35" t="n"/>
      <c r="C211" s="35" t="n"/>
      <c r="D211" s="36" t="n"/>
      <c r="E211" s="37" t="n"/>
      <c r="F211" s="37" t="n"/>
      <c r="G211" s="38" t="n"/>
      <c r="H211" s="39" t="n"/>
      <c r="I211" s="38" t="n"/>
      <c r="J211" s="37" t="n"/>
      <c r="K211" s="38" t="n"/>
      <c r="L211" s="35" t="n"/>
      <c r="M211" s="35" t="n"/>
      <c r="N211" s="35" t="n"/>
    </row>
    <row r="212">
      <c r="A212" s="35" t="n"/>
      <c r="B212" s="35" t="n"/>
      <c r="C212" s="35" t="n"/>
      <c r="D212" s="36" t="n"/>
      <c r="E212" s="37" t="n"/>
      <c r="F212" s="37" t="n"/>
      <c r="G212" s="38" t="n"/>
      <c r="H212" s="39" t="n"/>
      <c r="I212" s="38" t="n"/>
      <c r="J212" s="37" t="n"/>
      <c r="K212" s="38" t="n"/>
      <c r="L212" s="35" t="n"/>
      <c r="M212" s="35" t="n"/>
      <c r="N212" s="35" t="n"/>
    </row>
    <row r="213">
      <c r="A213" s="35" t="n"/>
      <c r="B213" s="35" t="n"/>
      <c r="C213" s="35" t="n"/>
      <c r="D213" s="36" t="n"/>
      <c r="E213" s="37" t="n"/>
      <c r="F213" s="37" t="n"/>
      <c r="G213" s="38" t="n"/>
      <c r="H213" s="39" t="n"/>
      <c r="I213" s="38" t="n"/>
      <c r="J213" s="37" t="n"/>
      <c r="K213" s="38" t="n"/>
      <c r="L213" s="35" t="n"/>
      <c r="M213" s="35" t="n"/>
      <c r="N213" s="35" t="n"/>
    </row>
    <row r="214">
      <c r="A214" s="35" t="n"/>
      <c r="B214" s="35" t="n"/>
      <c r="C214" s="35" t="n"/>
      <c r="D214" s="36" t="n"/>
      <c r="E214" s="37" t="n"/>
      <c r="F214" s="37" t="n"/>
      <c r="G214" s="38" t="n"/>
      <c r="H214" s="39" t="n"/>
      <c r="I214" s="38" t="n"/>
      <c r="J214" s="37" t="n"/>
      <c r="K214" s="38" t="n"/>
      <c r="L214" s="35" t="n"/>
      <c r="M214" s="35" t="n"/>
      <c r="N214" s="35" t="n"/>
    </row>
    <row r="215">
      <c r="A215" s="35" t="n"/>
      <c r="B215" s="35" t="n"/>
      <c r="C215" s="35" t="n"/>
      <c r="D215" s="36" t="n"/>
      <c r="E215" s="37" t="n"/>
      <c r="F215" s="37" t="n"/>
      <c r="G215" s="38" t="n"/>
      <c r="H215" s="39" t="n"/>
      <c r="I215" s="38" t="n"/>
      <c r="J215" s="37" t="n"/>
      <c r="K215" s="38" t="n"/>
      <c r="L215" s="35" t="n"/>
      <c r="M215" s="35" t="n"/>
      <c r="N215" s="35" t="n"/>
    </row>
    <row r="216">
      <c r="A216" s="35" t="n"/>
      <c r="B216" s="35" t="n"/>
      <c r="C216" s="35" t="n"/>
      <c r="D216" s="36" t="n"/>
      <c r="E216" s="37" t="n"/>
      <c r="F216" s="37" t="n"/>
      <c r="G216" s="38" t="n"/>
      <c r="H216" s="39" t="n"/>
      <c r="I216" s="38" t="n"/>
      <c r="J216" s="37" t="n"/>
      <c r="K216" s="38" t="n"/>
      <c r="L216" s="35" t="n"/>
      <c r="M216" s="35" t="n"/>
      <c r="N216" s="35" t="n"/>
    </row>
    <row r="217">
      <c r="A217" s="35" t="n"/>
      <c r="B217" s="35" t="n"/>
      <c r="C217" s="35" t="n"/>
      <c r="D217" s="36" t="n"/>
      <c r="E217" s="37" t="n"/>
      <c r="F217" s="37" t="n"/>
      <c r="G217" s="38" t="n"/>
      <c r="H217" s="39" t="n"/>
      <c r="I217" s="38" t="n"/>
      <c r="J217" s="37" t="n"/>
      <c r="K217" s="38" t="n"/>
      <c r="L217" s="35" t="n"/>
      <c r="M217" s="35" t="n"/>
      <c r="N217" s="35" t="n"/>
    </row>
    <row r="218">
      <c r="A218" s="35" t="n"/>
      <c r="B218" s="35" t="n"/>
      <c r="C218" s="35" t="n"/>
      <c r="D218" s="36" t="n"/>
      <c r="E218" s="37" t="n"/>
      <c r="F218" s="37" t="n"/>
      <c r="G218" s="38" t="n"/>
      <c r="H218" s="39" t="n"/>
      <c r="I218" s="38" t="n"/>
      <c r="J218" s="37" t="n"/>
      <c r="K218" s="38" t="n"/>
      <c r="L218" s="35" t="n"/>
      <c r="M218" s="35" t="n"/>
      <c r="N218" s="35" t="n"/>
    </row>
    <row r="219">
      <c r="A219" s="35" t="n"/>
      <c r="B219" s="35" t="n"/>
      <c r="C219" s="35" t="n"/>
      <c r="D219" s="36" t="n"/>
      <c r="E219" s="37" t="n"/>
      <c r="F219" s="37" t="n"/>
      <c r="G219" s="38" t="n"/>
      <c r="H219" s="39" t="n"/>
      <c r="I219" s="38" t="n"/>
      <c r="J219" s="37" t="n"/>
      <c r="K219" s="38" t="n"/>
      <c r="L219" s="35" t="n"/>
      <c r="M219" s="35" t="n"/>
      <c r="N219" s="35" t="n"/>
    </row>
    <row r="220">
      <c r="A220" s="35" t="n"/>
      <c r="B220" s="35" t="n"/>
      <c r="C220" s="35" t="n"/>
      <c r="D220" s="36" t="n"/>
      <c r="E220" s="37" t="n"/>
      <c r="F220" s="37" t="n"/>
      <c r="G220" s="38" t="n"/>
      <c r="H220" s="39" t="n"/>
      <c r="I220" s="38" t="n"/>
      <c r="J220" s="37" t="n"/>
      <c r="K220" s="38" t="n"/>
      <c r="L220" s="35" t="n"/>
      <c r="M220" s="35" t="n"/>
      <c r="N220" s="35" t="n"/>
    </row>
    <row r="221">
      <c r="A221" s="35" t="n"/>
      <c r="B221" s="35" t="n"/>
      <c r="C221" s="35" t="n"/>
      <c r="D221" s="36" t="n"/>
      <c r="E221" s="37" t="n"/>
      <c r="F221" s="37" t="n"/>
      <c r="G221" s="38" t="n"/>
      <c r="H221" s="39" t="n"/>
      <c r="I221" s="38" t="n"/>
      <c r="J221" s="37" t="n"/>
      <c r="K221" s="38" t="n"/>
      <c r="L221" s="35" t="n"/>
      <c r="M221" s="35" t="n"/>
      <c r="N221" s="35" t="n"/>
    </row>
    <row r="222">
      <c r="A222" s="35" t="n"/>
      <c r="B222" s="35" t="n"/>
      <c r="C222" s="35" t="n"/>
      <c r="D222" s="36" t="n"/>
      <c r="E222" s="37" t="n"/>
      <c r="F222" s="37" t="n"/>
      <c r="G222" s="38" t="n"/>
      <c r="H222" s="39" t="n"/>
      <c r="I222" s="38" t="n"/>
      <c r="J222" s="37" t="n"/>
      <c r="K222" s="38" t="n"/>
      <c r="L222" s="35" t="n"/>
      <c r="M222" s="35" t="n"/>
      <c r="N222" s="35" t="n"/>
    </row>
    <row r="223">
      <c r="A223" s="35" t="n"/>
      <c r="B223" s="35" t="n"/>
      <c r="C223" s="35" t="n"/>
      <c r="D223" s="36" t="n"/>
      <c r="E223" s="37" t="n"/>
      <c r="F223" s="37" t="n"/>
      <c r="G223" s="38" t="n"/>
      <c r="H223" s="39" t="n"/>
      <c r="I223" s="38" t="n"/>
      <c r="J223" s="37" t="n"/>
      <c r="K223" s="38" t="n"/>
      <c r="L223" s="35" t="n"/>
      <c r="M223" s="35" t="n"/>
      <c r="N223" s="35" t="n"/>
    </row>
    <row r="224">
      <c r="A224" s="35" t="n"/>
      <c r="B224" s="35" t="n"/>
      <c r="C224" s="35" t="n"/>
      <c r="D224" s="36" t="n"/>
      <c r="E224" s="37" t="n"/>
      <c r="F224" s="37" t="n"/>
      <c r="G224" s="38" t="n"/>
      <c r="H224" s="39" t="n"/>
      <c r="I224" s="38" t="n"/>
      <c r="J224" s="37" t="n"/>
      <c r="K224" s="38" t="n"/>
      <c r="L224" s="35" t="n"/>
      <c r="M224" s="35" t="n"/>
      <c r="N224" s="35" t="n"/>
    </row>
    <row r="225">
      <c r="A225" s="35" t="n"/>
      <c r="B225" s="35" t="n"/>
      <c r="C225" s="35" t="n"/>
      <c r="D225" s="36" t="n"/>
      <c r="E225" s="37" t="n"/>
      <c r="F225" s="37" t="n"/>
      <c r="G225" s="38" t="n"/>
      <c r="H225" s="39" t="n"/>
      <c r="I225" s="38" t="n"/>
      <c r="J225" s="37" t="n"/>
      <c r="K225" s="38" t="n"/>
      <c r="L225" s="35" t="n"/>
      <c r="M225" s="35" t="n"/>
      <c r="N225" s="35" t="n"/>
    </row>
    <row r="226">
      <c r="A226" s="35" t="n"/>
      <c r="B226" s="35" t="n"/>
      <c r="C226" s="35" t="n"/>
      <c r="D226" s="36" t="n"/>
      <c r="E226" s="37" t="n"/>
      <c r="F226" s="37" t="n"/>
      <c r="G226" s="38" t="n"/>
      <c r="H226" s="39" t="n"/>
      <c r="I226" s="38" t="n"/>
      <c r="J226" s="37" t="n"/>
      <c r="K226" s="38" t="n"/>
      <c r="L226" s="35" t="n"/>
      <c r="M226" s="35" t="n"/>
      <c r="N226" s="35" t="n"/>
    </row>
    <row r="227">
      <c r="A227" s="35" t="n"/>
      <c r="B227" s="35" t="n"/>
      <c r="C227" s="35" t="n"/>
      <c r="D227" s="36" t="n"/>
      <c r="E227" s="37" t="n"/>
      <c r="F227" s="37" t="n"/>
      <c r="G227" s="38" t="n"/>
      <c r="H227" s="39" t="n"/>
      <c r="I227" s="38" t="n"/>
      <c r="J227" s="37" t="n"/>
      <c r="K227" s="38" t="n"/>
      <c r="L227" s="35" t="n"/>
      <c r="M227" s="35" t="n"/>
      <c r="N227" s="35" t="n"/>
    </row>
    <row r="228">
      <c r="A228" s="35" t="n"/>
      <c r="B228" s="35" t="n"/>
      <c r="C228" s="35" t="n"/>
      <c r="D228" s="36" t="n"/>
      <c r="E228" s="37" t="n"/>
      <c r="F228" s="37" t="n"/>
      <c r="G228" s="38" t="n"/>
      <c r="H228" s="39" t="n"/>
      <c r="I228" s="38" t="n"/>
      <c r="J228" s="37" t="n"/>
      <c r="K228" s="38" t="n"/>
      <c r="L228" s="35" t="n"/>
      <c r="M228" s="35" t="n"/>
      <c r="N228" s="35" t="n"/>
    </row>
    <row r="229">
      <c r="A229" s="35" t="n"/>
      <c r="B229" s="35" t="n"/>
      <c r="C229" s="35" t="n"/>
      <c r="D229" s="36" t="n"/>
      <c r="E229" s="37" t="n"/>
      <c r="F229" s="37" t="n"/>
      <c r="G229" s="38" t="n"/>
      <c r="H229" s="39" t="n"/>
      <c r="I229" s="38" t="n"/>
      <c r="J229" s="37" t="n"/>
      <c r="K229" s="38" t="n"/>
      <c r="L229" s="35" t="n"/>
      <c r="M229" s="35" t="n"/>
      <c r="N229" s="35" t="n"/>
    </row>
    <row r="230">
      <c r="A230" s="35" t="n"/>
      <c r="B230" s="35" t="n"/>
      <c r="C230" s="35" t="n"/>
      <c r="D230" s="36" t="n"/>
      <c r="E230" s="37" t="n"/>
      <c r="F230" s="37" t="n"/>
      <c r="G230" s="38" t="n"/>
      <c r="H230" s="39" t="n"/>
      <c r="I230" s="38" t="n"/>
      <c r="J230" s="37" t="n"/>
      <c r="K230" s="38" t="n"/>
      <c r="L230" s="35" t="n"/>
      <c r="M230" s="35" t="n"/>
      <c r="N230" s="35" t="n"/>
    </row>
    <row r="231">
      <c r="A231" s="35" t="n"/>
      <c r="B231" s="35" t="n"/>
      <c r="C231" s="35" t="n"/>
      <c r="D231" s="36" t="n"/>
      <c r="E231" s="37" t="n"/>
      <c r="F231" s="37" t="n"/>
      <c r="G231" s="38" t="n"/>
      <c r="H231" s="39" t="n"/>
      <c r="I231" s="38" t="n"/>
      <c r="J231" s="37" t="n"/>
      <c r="K231" s="38" t="n"/>
      <c r="L231" s="35" t="n"/>
      <c r="M231" s="35" t="n"/>
      <c r="N231" s="35" t="n"/>
    </row>
    <row r="232">
      <c r="A232" s="35" t="n"/>
      <c r="B232" s="35" t="n"/>
      <c r="C232" s="35" t="n"/>
      <c r="D232" s="36" t="n"/>
      <c r="E232" s="37" t="n"/>
      <c r="F232" s="37" t="n"/>
      <c r="G232" s="38" t="n"/>
      <c r="H232" s="39" t="n"/>
      <c r="I232" s="38" t="n"/>
      <c r="J232" s="37" t="n"/>
      <c r="K232" s="38" t="n"/>
      <c r="L232" s="35" t="n"/>
      <c r="M232" s="35" t="n"/>
      <c r="N232" s="35" t="n"/>
    </row>
    <row r="233">
      <c r="A233" s="35" t="n"/>
      <c r="B233" s="35" t="n"/>
      <c r="C233" s="35" t="n"/>
      <c r="D233" s="36" t="n"/>
      <c r="E233" s="37" t="n"/>
      <c r="F233" s="37" t="n"/>
      <c r="G233" s="38" t="n"/>
      <c r="H233" s="39" t="n"/>
      <c r="I233" s="38" t="n"/>
      <c r="J233" s="37" t="n"/>
      <c r="K233" s="38" t="n"/>
      <c r="L233" s="35" t="n"/>
      <c r="M233" s="35" t="n"/>
      <c r="N233" s="35" t="n"/>
    </row>
    <row r="234">
      <c r="A234" s="35" t="n"/>
      <c r="B234" s="35" t="n"/>
      <c r="C234" s="35" t="n"/>
      <c r="D234" s="36" t="n"/>
      <c r="E234" s="37" t="n"/>
      <c r="F234" s="37" t="n"/>
      <c r="G234" s="38" t="n"/>
      <c r="H234" s="39" t="n"/>
      <c r="I234" s="38" t="n"/>
      <c r="J234" s="37" t="n"/>
      <c r="K234" s="38" t="n"/>
      <c r="L234" s="35" t="n"/>
      <c r="M234" s="35" t="n"/>
      <c r="N234" s="35" t="n"/>
    </row>
    <row r="235">
      <c r="A235" s="35" t="n"/>
      <c r="B235" s="35" t="n"/>
      <c r="C235" s="35" t="n"/>
      <c r="D235" s="36" t="n"/>
      <c r="E235" s="37" t="n"/>
      <c r="F235" s="37" t="n"/>
      <c r="G235" s="38" t="n"/>
      <c r="H235" s="39" t="n"/>
      <c r="I235" s="38" t="n"/>
      <c r="J235" s="37" t="n"/>
      <c r="K235" s="38" t="n"/>
      <c r="L235" s="35" t="n"/>
      <c r="M235" s="35" t="n"/>
      <c r="N235" s="35" t="n"/>
    </row>
    <row r="236">
      <c r="A236" s="35" t="n"/>
      <c r="B236" s="35" t="n"/>
      <c r="C236" s="35" t="n"/>
      <c r="D236" s="36" t="n"/>
      <c r="E236" s="37" t="n"/>
      <c r="F236" s="37" t="n"/>
      <c r="G236" s="38" t="n"/>
      <c r="H236" s="39" t="n"/>
      <c r="I236" s="38" t="n"/>
      <c r="J236" s="37" t="n"/>
      <c r="K236" s="38" t="n"/>
      <c r="L236" s="35" t="n"/>
      <c r="M236" s="35" t="n"/>
      <c r="N236" s="35" t="n"/>
    </row>
    <row r="237">
      <c r="A237" s="35" t="n"/>
      <c r="B237" s="35" t="n"/>
      <c r="C237" s="35" t="n"/>
      <c r="D237" s="36" t="n"/>
      <c r="E237" s="37" t="n"/>
      <c r="F237" s="37" t="n"/>
      <c r="G237" s="38" t="n"/>
      <c r="H237" s="39" t="n"/>
      <c r="I237" s="38" t="n"/>
      <c r="J237" s="37" t="n"/>
      <c r="K237" s="38" t="n"/>
      <c r="L237" s="35" t="n"/>
      <c r="M237" s="35" t="n"/>
      <c r="N237" s="35" t="n"/>
    </row>
    <row r="238">
      <c r="A238" s="35" t="n"/>
      <c r="B238" s="35" t="n"/>
      <c r="C238" s="35" t="n"/>
      <c r="D238" s="36" t="n"/>
      <c r="E238" s="37" t="n"/>
      <c r="F238" s="37" t="n"/>
      <c r="G238" s="38" t="n"/>
      <c r="H238" s="39" t="n"/>
      <c r="I238" s="38" t="n"/>
      <c r="J238" s="37" t="n"/>
      <c r="K238" s="38" t="n"/>
      <c r="L238" s="35" t="n"/>
      <c r="M238" s="35" t="n"/>
      <c r="N238" s="35" t="n"/>
    </row>
    <row r="239">
      <c r="A239" s="35" t="n"/>
      <c r="B239" s="35" t="n"/>
      <c r="C239" s="35" t="n"/>
      <c r="D239" s="36" t="n"/>
      <c r="E239" s="37" t="n"/>
      <c r="F239" s="37" t="n"/>
      <c r="G239" s="38" t="n"/>
      <c r="H239" s="39" t="n"/>
      <c r="I239" s="38" t="n"/>
      <c r="J239" s="37" t="n"/>
      <c r="K239" s="38" t="n"/>
      <c r="L239" s="35" t="n"/>
      <c r="M239" s="35" t="n"/>
      <c r="N239" s="35" t="n"/>
    </row>
    <row r="240">
      <c r="A240" s="35" t="n"/>
      <c r="B240" s="35" t="n"/>
      <c r="C240" s="35" t="n"/>
      <c r="D240" s="36" t="n"/>
      <c r="E240" s="37" t="n"/>
      <c r="F240" s="37" t="n"/>
      <c r="G240" s="38" t="n"/>
      <c r="H240" s="39" t="n"/>
      <c r="I240" s="38" t="n"/>
      <c r="J240" s="37" t="n"/>
      <c r="K240" s="38" t="n"/>
      <c r="L240" s="35" t="n"/>
      <c r="M240" s="35" t="n"/>
      <c r="N240" s="35" t="n"/>
    </row>
    <row r="241">
      <c r="A241" s="35" t="n"/>
      <c r="B241" s="35" t="n"/>
      <c r="C241" s="35" t="n"/>
      <c r="D241" s="36" t="n"/>
      <c r="E241" s="37" t="n"/>
      <c r="F241" s="37" t="n"/>
      <c r="G241" s="38" t="n"/>
      <c r="H241" s="39" t="n"/>
      <c r="I241" s="38" t="n"/>
      <c r="J241" s="37" t="n"/>
      <c r="K241" s="38" t="n"/>
      <c r="L241" s="35" t="n"/>
      <c r="M241" s="35" t="n"/>
      <c r="N241" s="35" t="n"/>
    </row>
    <row r="242">
      <c r="A242" s="35" t="n"/>
      <c r="B242" s="35" t="n"/>
      <c r="C242" s="35" t="n"/>
      <c r="D242" s="36" t="n"/>
      <c r="E242" s="37" t="n"/>
      <c r="F242" s="37" t="n"/>
      <c r="G242" s="38" t="n"/>
      <c r="H242" s="39" t="n"/>
      <c r="I242" s="38" t="n"/>
      <c r="J242" s="37" t="n"/>
      <c r="K242" s="38" t="n"/>
      <c r="L242" s="35" t="n"/>
      <c r="M242" s="35" t="n"/>
      <c r="N242" s="35" t="n"/>
    </row>
    <row r="243">
      <c r="A243" s="35" t="n"/>
      <c r="B243" s="35" t="n"/>
      <c r="C243" s="35" t="n"/>
      <c r="D243" s="36" t="n"/>
      <c r="E243" s="37" t="n"/>
      <c r="F243" s="37" t="n"/>
      <c r="G243" s="38" t="n"/>
      <c r="H243" s="39" t="n"/>
      <c r="I243" s="38" t="n"/>
      <c r="J243" s="37" t="n"/>
      <c r="K243" s="38" t="n"/>
      <c r="L243" s="35" t="n"/>
      <c r="M243" s="35" t="n"/>
      <c r="N243" s="35" t="n"/>
    </row>
    <row r="244">
      <c r="A244" s="35" t="n"/>
      <c r="B244" s="35" t="n"/>
      <c r="C244" s="35" t="n"/>
      <c r="D244" s="36" t="n"/>
      <c r="E244" s="37" t="n"/>
      <c r="F244" s="37" t="n"/>
      <c r="G244" s="38" t="n"/>
      <c r="H244" s="39" t="n"/>
      <c r="I244" s="38" t="n"/>
      <c r="J244" s="37" t="n"/>
      <c r="K244" s="38" t="n"/>
      <c r="L244" s="35" t="n"/>
      <c r="M244" s="35" t="n"/>
      <c r="N244" s="35" t="n"/>
    </row>
    <row r="245">
      <c r="A245" s="35" t="n"/>
      <c r="B245" s="35" t="n"/>
      <c r="C245" s="35" t="n"/>
      <c r="D245" s="36" t="n"/>
      <c r="E245" s="37" t="n"/>
      <c r="F245" s="37" t="n"/>
      <c r="G245" s="38" t="n"/>
      <c r="H245" s="39" t="n"/>
      <c r="I245" s="38" t="n"/>
      <c r="J245" s="37" t="n"/>
      <c r="K245" s="38" t="n"/>
      <c r="L245" s="35" t="n"/>
      <c r="M245" s="35" t="n"/>
      <c r="N245" s="35" t="n"/>
    </row>
    <row r="246">
      <c r="A246" s="35" t="n"/>
      <c r="B246" s="35" t="n"/>
      <c r="C246" s="35" t="n"/>
      <c r="D246" s="36" t="n"/>
      <c r="E246" s="37" t="n"/>
      <c r="F246" s="37" t="n"/>
      <c r="G246" s="38" t="n"/>
      <c r="H246" s="39" t="n"/>
      <c r="I246" s="38" t="n"/>
      <c r="J246" s="37" t="n"/>
      <c r="K246" s="38" t="n"/>
      <c r="L246" s="35" t="n"/>
      <c r="M246" s="35" t="n"/>
      <c r="N246" s="35" t="n"/>
    </row>
    <row r="247">
      <c r="A247" s="35" t="n"/>
      <c r="B247" s="35" t="n"/>
      <c r="C247" s="35" t="n"/>
      <c r="D247" s="36" t="n"/>
      <c r="E247" s="37" t="n"/>
      <c r="F247" s="37" t="n"/>
      <c r="G247" s="38" t="n"/>
      <c r="H247" s="39" t="n"/>
      <c r="I247" s="38" t="n"/>
      <c r="J247" s="37" t="n"/>
      <c r="K247" s="38" t="n"/>
      <c r="L247" s="35" t="n"/>
      <c r="M247" s="35" t="n"/>
      <c r="N247" s="35" t="n"/>
    </row>
    <row r="248">
      <c r="A248" s="35" t="n"/>
      <c r="B248" s="35" t="n"/>
      <c r="C248" s="35" t="n"/>
      <c r="D248" s="36" t="n"/>
      <c r="E248" s="37" t="n"/>
      <c r="F248" s="37" t="n"/>
      <c r="G248" s="38" t="n"/>
      <c r="H248" s="39" t="n"/>
      <c r="I248" s="38" t="n"/>
      <c r="J248" s="37" t="n"/>
      <c r="K248" s="38" t="n"/>
      <c r="L248" s="35" t="n"/>
      <c r="M248" s="35" t="n"/>
      <c r="N248" s="35" t="n"/>
    </row>
    <row r="249">
      <c r="A249" s="35" t="n"/>
      <c r="B249" s="35" t="n"/>
      <c r="C249" s="35" t="n"/>
      <c r="D249" s="36" t="n"/>
      <c r="E249" s="37" t="n"/>
      <c r="F249" s="37" t="n"/>
      <c r="G249" s="38" t="n"/>
      <c r="H249" s="39" t="n"/>
      <c r="I249" s="38" t="n"/>
      <c r="J249" s="37" t="n"/>
      <c r="K249" s="38" t="n"/>
      <c r="L249" s="35" t="n"/>
      <c r="M249" s="35" t="n"/>
      <c r="N249" s="35" t="n"/>
    </row>
    <row r="250">
      <c r="A250" s="35" t="n"/>
      <c r="B250" s="35" t="n"/>
      <c r="C250" s="35" t="n"/>
      <c r="D250" s="36" t="n"/>
      <c r="E250" s="37" t="n"/>
      <c r="F250" s="37" t="n"/>
      <c r="G250" s="38" t="n"/>
      <c r="H250" s="39" t="n"/>
      <c r="I250" s="38" t="n"/>
      <c r="J250" s="37" t="n"/>
      <c r="K250" s="38" t="n"/>
      <c r="L250" s="35" t="n"/>
      <c r="M250" s="35" t="n"/>
      <c r="N250" s="35" t="n"/>
    </row>
    <row r="251">
      <c r="A251" s="35" t="n"/>
      <c r="B251" s="35" t="n"/>
      <c r="C251" s="35" t="n"/>
      <c r="D251" s="36" t="n"/>
      <c r="E251" s="37" t="n"/>
      <c r="F251" s="37" t="n"/>
      <c r="G251" s="38" t="n"/>
      <c r="H251" s="39" t="n"/>
      <c r="I251" s="38" t="n"/>
      <c r="J251" s="37" t="n"/>
      <c r="K251" s="38" t="n"/>
      <c r="L251" s="35" t="n"/>
      <c r="M251" s="35" t="n"/>
      <c r="N251" s="35" t="n"/>
    </row>
    <row r="252">
      <c r="A252" s="35" t="n"/>
      <c r="B252" s="35" t="n"/>
      <c r="C252" s="35" t="n"/>
      <c r="D252" s="36" t="n"/>
      <c r="E252" s="37" t="n"/>
      <c r="F252" s="37" t="n"/>
      <c r="G252" s="38" t="n"/>
      <c r="H252" s="39" t="n"/>
      <c r="I252" s="38" t="n"/>
      <c r="J252" s="37" t="n"/>
      <c r="K252" s="38" t="n"/>
      <c r="L252" s="35" t="n"/>
      <c r="M252" s="35" t="n"/>
      <c r="N252" s="35" t="n"/>
    </row>
    <row r="253">
      <c r="A253" s="35" t="n"/>
      <c r="B253" s="35" t="n"/>
      <c r="C253" s="35" t="n"/>
      <c r="D253" s="36" t="n"/>
      <c r="E253" s="37" t="n"/>
      <c r="F253" s="37" t="n"/>
      <c r="G253" s="38" t="n"/>
      <c r="H253" s="39" t="n"/>
      <c r="I253" s="38" t="n"/>
      <c r="J253" s="37" t="n"/>
      <c r="K253" s="38" t="n"/>
      <c r="L253" s="35" t="n"/>
      <c r="M253" s="35" t="n"/>
      <c r="N253" s="35" t="n"/>
    </row>
    <row r="254">
      <c r="A254" s="35" t="n"/>
      <c r="B254" s="35" t="n"/>
      <c r="C254" s="35" t="n"/>
      <c r="D254" s="36" t="n"/>
      <c r="E254" s="37" t="n"/>
      <c r="F254" s="37" t="n"/>
      <c r="G254" s="38" t="n"/>
      <c r="H254" s="39" t="n"/>
      <c r="I254" s="38" t="n"/>
      <c r="J254" s="37" t="n"/>
      <c r="K254" s="38" t="n"/>
      <c r="L254" s="35" t="n"/>
      <c r="M254" s="35" t="n"/>
      <c r="N254" s="35" t="n"/>
    </row>
    <row r="255">
      <c r="A255" s="35" t="n"/>
      <c r="B255" s="35" t="n"/>
      <c r="C255" s="35" t="n"/>
      <c r="D255" s="36" t="n"/>
      <c r="E255" s="37" t="n"/>
      <c r="F255" s="37" t="n"/>
      <c r="G255" s="38" t="n"/>
      <c r="H255" s="39" t="n"/>
      <c r="I255" s="38" t="n"/>
      <c r="J255" s="37" t="n"/>
      <c r="K255" s="38" t="n"/>
      <c r="L255" s="35" t="n"/>
      <c r="M255" s="35" t="n"/>
      <c r="N255" s="35" t="n"/>
    </row>
    <row r="256">
      <c r="A256" s="35" t="n"/>
      <c r="B256" s="35" t="n"/>
      <c r="C256" s="35" t="n"/>
      <c r="D256" s="36" t="n"/>
      <c r="E256" s="37" t="n"/>
      <c r="F256" s="37" t="n"/>
      <c r="G256" s="38" t="n"/>
      <c r="H256" s="39" t="n"/>
      <c r="I256" s="38" t="n"/>
      <c r="J256" s="37" t="n"/>
      <c r="K256" s="38" t="n"/>
      <c r="L256" s="35" t="n"/>
      <c r="M256" s="35" t="n"/>
      <c r="N256" s="35" t="n"/>
    </row>
    <row r="257">
      <c r="A257" s="35" t="n"/>
      <c r="B257" s="35" t="n"/>
      <c r="C257" s="35" t="n"/>
      <c r="D257" s="36" t="n"/>
      <c r="E257" s="37" t="n"/>
      <c r="F257" s="37" t="n"/>
      <c r="G257" s="38" t="n"/>
      <c r="H257" s="39" t="n"/>
      <c r="I257" s="38" t="n"/>
      <c r="J257" s="37" t="n"/>
      <c r="K257" s="38" t="n"/>
      <c r="L257" s="35" t="n"/>
      <c r="M257" s="35" t="n"/>
      <c r="N257" s="35" t="n"/>
    </row>
    <row r="258">
      <c r="A258" s="35" t="n"/>
      <c r="B258" s="35" t="n"/>
      <c r="C258" s="35" t="n"/>
      <c r="D258" s="36" t="n"/>
      <c r="E258" s="37" t="n"/>
      <c r="F258" s="37" t="n"/>
      <c r="G258" s="38" t="n"/>
      <c r="H258" s="39" t="n"/>
      <c r="I258" s="38" t="n"/>
      <c r="J258" s="37" t="n"/>
      <c r="K258" s="38" t="n"/>
      <c r="L258" s="35" t="n"/>
      <c r="M258" s="35" t="n"/>
      <c r="N258" s="35" t="n"/>
    </row>
    <row r="259">
      <c r="A259" s="35" t="n"/>
      <c r="B259" s="35" t="n"/>
      <c r="C259" s="35" t="n"/>
      <c r="D259" s="36" t="n"/>
      <c r="E259" s="37" t="n"/>
      <c r="F259" s="37" t="n"/>
      <c r="G259" s="38" t="n"/>
      <c r="H259" s="39" t="n"/>
      <c r="I259" s="38" t="n"/>
      <c r="J259" s="37" t="n"/>
      <c r="K259" s="38" t="n"/>
      <c r="L259" s="35" t="n"/>
      <c r="M259" s="35" t="n"/>
      <c r="N259" s="35" t="n"/>
    </row>
    <row r="260">
      <c r="A260" s="35" t="n"/>
      <c r="B260" s="35" t="n"/>
      <c r="C260" s="35" t="n"/>
      <c r="D260" s="36" t="n"/>
      <c r="E260" s="37" t="n"/>
      <c r="F260" s="37" t="n"/>
      <c r="G260" s="38" t="n"/>
      <c r="H260" s="39" t="n"/>
      <c r="I260" s="38" t="n"/>
      <c r="J260" s="37" t="n"/>
      <c r="K260" s="38" t="n"/>
      <c r="L260" s="35" t="n"/>
      <c r="M260" s="35" t="n"/>
      <c r="N260" s="35" t="n"/>
    </row>
    <row r="261">
      <c r="A261" s="35" t="n"/>
      <c r="B261" s="35" t="n"/>
      <c r="C261" s="35" t="n"/>
      <c r="D261" s="36" t="n"/>
      <c r="E261" s="37" t="n"/>
      <c r="F261" s="37" t="n"/>
      <c r="G261" s="38" t="n"/>
      <c r="H261" s="39" t="n"/>
      <c r="I261" s="38" t="n"/>
      <c r="J261" s="37" t="n"/>
      <c r="K261" s="38" t="n"/>
      <c r="L261" s="35" t="n"/>
      <c r="M261" s="35" t="n"/>
      <c r="N261" s="35" t="n"/>
    </row>
    <row r="262">
      <c r="A262" s="35" t="n"/>
      <c r="B262" s="35" t="n"/>
      <c r="C262" s="35" t="n"/>
      <c r="D262" s="36" t="n"/>
      <c r="E262" s="37" t="n"/>
      <c r="F262" s="37" t="n"/>
      <c r="G262" s="38" t="n"/>
      <c r="H262" s="39" t="n"/>
      <c r="I262" s="38" t="n"/>
      <c r="J262" s="37" t="n"/>
      <c r="K262" s="38" t="n"/>
      <c r="L262" s="35" t="n"/>
      <c r="M262" s="35" t="n"/>
      <c r="N262" s="35" t="n"/>
    </row>
    <row r="263">
      <c r="A263" s="35" t="n"/>
      <c r="B263" s="35" t="n"/>
      <c r="C263" s="35" t="n"/>
      <c r="D263" s="36" t="n"/>
      <c r="E263" s="37" t="n"/>
      <c r="F263" s="37" t="n"/>
      <c r="G263" s="38" t="n"/>
      <c r="H263" s="39" t="n"/>
      <c r="I263" s="38" t="n"/>
      <c r="J263" s="37" t="n"/>
      <c r="K263" s="38" t="n"/>
      <c r="L263" s="35" t="n"/>
      <c r="M263" s="35" t="n"/>
      <c r="N263" s="35" t="n"/>
    </row>
    <row r="264">
      <c r="A264" s="35" t="n"/>
      <c r="B264" s="35" t="n"/>
      <c r="C264" s="35" t="n"/>
      <c r="D264" s="36" t="n"/>
      <c r="E264" s="37" t="n"/>
      <c r="F264" s="37" t="n"/>
      <c r="G264" s="38" t="n"/>
      <c r="H264" s="39" t="n"/>
      <c r="I264" s="38" t="n"/>
      <c r="J264" s="37" t="n"/>
      <c r="K264" s="38" t="n"/>
      <c r="L264" s="35" t="n"/>
      <c r="M264" s="35" t="n"/>
      <c r="N264" s="35" t="n"/>
    </row>
    <row r="265">
      <c r="A265" s="35" t="n"/>
      <c r="B265" s="35" t="n"/>
      <c r="C265" s="35" t="n"/>
      <c r="D265" s="36" t="n"/>
      <c r="E265" s="37" t="n"/>
      <c r="F265" s="37" t="n"/>
      <c r="G265" s="38" t="n"/>
      <c r="H265" s="39" t="n"/>
      <c r="I265" s="38" t="n"/>
      <c r="J265" s="37" t="n"/>
      <c r="K265" s="38" t="n"/>
      <c r="L265" s="35" t="n"/>
      <c r="M265" s="35" t="n"/>
      <c r="N265" s="35" t="n"/>
    </row>
    <row r="266">
      <c r="A266" s="35" t="n"/>
      <c r="B266" s="35" t="n"/>
      <c r="C266" s="35" t="n"/>
      <c r="D266" s="36" t="n"/>
      <c r="E266" s="37" t="n"/>
      <c r="F266" s="37" t="n"/>
      <c r="G266" s="38" t="n"/>
      <c r="H266" s="39" t="n"/>
      <c r="I266" s="38" t="n"/>
      <c r="J266" s="37" t="n"/>
      <c r="K266" s="38" t="n"/>
      <c r="L266" s="35" t="n"/>
      <c r="M266" s="35" t="n"/>
      <c r="N266" s="35" t="n"/>
    </row>
    <row r="267">
      <c r="A267" s="35" t="n"/>
      <c r="B267" s="35" t="n"/>
      <c r="C267" s="35" t="n"/>
      <c r="D267" s="36" t="n"/>
      <c r="E267" s="37" t="n"/>
      <c r="F267" s="37" t="n"/>
      <c r="G267" s="38" t="n"/>
      <c r="H267" s="39" t="n"/>
      <c r="I267" s="38" t="n"/>
      <c r="J267" s="37" t="n"/>
      <c r="K267" s="38" t="n"/>
      <c r="L267" s="35" t="n"/>
      <c r="M267" s="35" t="n"/>
      <c r="N267" s="35" t="n"/>
    </row>
    <row r="268">
      <c r="A268" s="35" t="n"/>
      <c r="B268" s="35" t="n"/>
      <c r="C268" s="35" t="n"/>
      <c r="D268" s="36" t="n"/>
      <c r="E268" s="37" t="n"/>
      <c r="F268" s="37" t="n"/>
      <c r="G268" s="38" t="n"/>
      <c r="H268" s="39" t="n"/>
      <c r="I268" s="38" t="n"/>
      <c r="J268" s="37" t="n"/>
      <c r="K268" s="38" t="n"/>
      <c r="L268" s="35" t="n"/>
      <c r="M268" s="35" t="n"/>
      <c r="N268" s="35" t="n"/>
    </row>
    <row r="269">
      <c r="A269" s="35" t="n"/>
      <c r="B269" s="35" t="n"/>
      <c r="C269" s="35" t="n"/>
      <c r="D269" s="36" t="n"/>
      <c r="E269" s="37" t="n"/>
      <c r="F269" s="37" t="n"/>
      <c r="G269" s="38" t="n"/>
      <c r="H269" s="39" t="n"/>
      <c r="I269" s="38" t="n"/>
      <c r="J269" s="37" t="n"/>
      <c r="K269" s="38" t="n"/>
      <c r="L269" s="35" t="n"/>
      <c r="M269" s="35" t="n"/>
      <c r="N269" s="35" t="n"/>
    </row>
    <row r="270">
      <c r="A270" s="35" t="n"/>
      <c r="B270" s="35" t="n"/>
      <c r="C270" s="35" t="n"/>
      <c r="D270" s="36" t="n"/>
      <c r="E270" s="37" t="n"/>
      <c r="F270" s="37" t="n"/>
      <c r="G270" s="38" t="n"/>
      <c r="H270" s="39" t="n"/>
      <c r="I270" s="38" t="n"/>
      <c r="J270" s="37" t="n"/>
      <c r="K270" s="38" t="n"/>
      <c r="L270" s="35" t="n"/>
      <c r="M270" s="35" t="n"/>
      <c r="N270" s="35" t="n"/>
    </row>
    <row r="271">
      <c r="A271" s="35" t="n"/>
      <c r="B271" s="35" t="n"/>
      <c r="C271" s="35" t="n"/>
      <c r="D271" s="36" t="n"/>
      <c r="E271" s="37" t="n"/>
      <c r="F271" s="37" t="n"/>
      <c r="G271" s="38" t="n"/>
      <c r="H271" s="39" t="n"/>
      <c r="I271" s="38" t="n"/>
      <c r="J271" s="37" t="n"/>
      <c r="K271" s="38" t="n"/>
      <c r="L271" s="35" t="n"/>
      <c r="M271" s="35" t="n"/>
      <c r="N271" s="35" t="n"/>
    </row>
    <row r="272">
      <c r="A272" s="35" t="n"/>
      <c r="B272" s="35" t="n"/>
      <c r="C272" s="35" t="n"/>
      <c r="D272" s="36" t="n"/>
      <c r="E272" s="37" t="n"/>
      <c r="F272" s="37" t="n"/>
      <c r="G272" s="38" t="n"/>
      <c r="H272" s="39" t="n"/>
      <c r="I272" s="38" t="n"/>
      <c r="J272" s="37" t="n"/>
      <c r="K272" s="38" t="n"/>
      <c r="L272" s="35" t="n"/>
      <c r="M272" s="35" t="n"/>
      <c r="N272" s="35" t="n"/>
    </row>
    <row r="273">
      <c r="A273" s="35" t="n"/>
      <c r="B273" s="35" t="n"/>
      <c r="C273" s="35" t="n"/>
      <c r="D273" s="36" t="n"/>
      <c r="E273" s="37" t="n"/>
      <c r="F273" s="37" t="n"/>
      <c r="G273" s="38" t="n"/>
      <c r="H273" s="39" t="n"/>
      <c r="I273" s="38" t="n"/>
      <c r="J273" s="37" t="n"/>
      <c r="K273" s="38" t="n"/>
      <c r="L273" s="35" t="n"/>
      <c r="M273" s="35" t="n"/>
      <c r="N273" s="35" t="n"/>
    </row>
    <row r="274">
      <c r="A274" s="35" t="n"/>
      <c r="B274" s="35" t="n"/>
      <c r="C274" s="35" t="n"/>
      <c r="D274" s="36" t="n"/>
      <c r="E274" s="37" t="n"/>
      <c r="F274" s="37" t="n"/>
      <c r="G274" s="38" t="n"/>
      <c r="H274" s="39" t="n"/>
      <c r="I274" s="38" t="n"/>
      <c r="J274" s="37" t="n"/>
      <c r="K274" s="38" t="n"/>
      <c r="L274" s="35" t="n"/>
      <c r="M274" s="35" t="n"/>
      <c r="N274" s="35" t="n"/>
    </row>
    <row r="275">
      <c r="A275" s="35" t="n"/>
      <c r="B275" s="35" t="n"/>
      <c r="C275" s="35" t="n"/>
      <c r="D275" s="36" t="n"/>
      <c r="E275" s="37" t="n"/>
      <c r="F275" s="37" t="n"/>
      <c r="G275" s="38" t="n"/>
      <c r="H275" s="39" t="n"/>
      <c r="I275" s="38" t="n"/>
      <c r="J275" s="37" t="n"/>
      <c r="K275" s="38" t="n"/>
      <c r="L275" s="35" t="n"/>
      <c r="M275" s="35" t="n"/>
      <c r="N275" s="35" t="n"/>
    </row>
    <row r="276">
      <c r="A276" s="35" t="n"/>
      <c r="B276" s="35" t="n"/>
      <c r="C276" s="35" t="n"/>
      <c r="D276" s="36" t="n"/>
      <c r="E276" s="37" t="n"/>
      <c r="F276" s="37" t="n"/>
      <c r="G276" s="38" t="n"/>
      <c r="H276" s="39" t="n"/>
      <c r="I276" s="38" t="n"/>
      <c r="J276" s="37" t="n"/>
      <c r="K276" s="38" t="n"/>
      <c r="L276" s="35" t="n"/>
      <c r="M276" s="35" t="n"/>
      <c r="N276" s="35" t="n"/>
    </row>
    <row r="277">
      <c r="A277" s="35" t="n"/>
      <c r="B277" s="35" t="n"/>
      <c r="C277" s="35" t="n"/>
      <c r="D277" s="36" t="n"/>
      <c r="E277" s="37" t="n"/>
      <c r="F277" s="37" t="n"/>
      <c r="G277" s="38" t="n"/>
      <c r="H277" s="39" t="n"/>
      <c r="I277" s="38" t="n"/>
      <c r="J277" s="37" t="n"/>
      <c r="K277" s="38" t="n"/>
      <c r="L277" s="35" t="n"/>
      <c r="M277" s="35" t="n"/>
      <c r="N277" s="35" t="n"/>
    </row>
    <row r="278">
      <c r="A278" s="35" t="n"/>
      <c r="B278" s="35" t="n"/>
      <c r="C278" s="35" t="n"/>
      <c r="D278" s="36" t="n"/>
      <c r="E278" s="37" t="n"/>
      <c r="F278" s="37" t="n"/>
      <c r="G278" s="38" t="n"/>
      <c r="H278" s="39" t="n"/>
      <c r="I278" s="38" t="n"/>
      <c r="J278" s="37" t="n"/>
      <c r="K278" s="38" t="n"/>
      <c r="L278" s="35" t="n"/>
      <c r="M278" s="35" t="n"/>
      <c r="N278" s="35" t="n"/>
    </row>
    <row r="279">
      <c r="A279" s="35" t="n"/>
      <c r="B279" s="35" t="n"/>
      <c r="C279" s="35" t="n"/>
      <c r="D279" s="36" t="n"/>
      <c r="E279" s="37" t="n"/>
      <c r="F279" s="37" t="n"/>
      <c r="G279" s="38" t="n"/>
      <c r="H279" s="39" t="n"/>
      <c r="I279" s="38" t="n"/>
      <c r="J279" s="37" t="n"/>
      <c r="K279" s="38" t="n"/>
      <c r="L279" s="35" t="n"/>
      <c r="M279" s="35" t="n"/>
      <c r="N279" s="35" t="n"/>
    </row>
    <row r="280">
      <c r="A280" s="35" t="n"/>
      <c r="B280" s="35" t="n"/>
      <c r="C280" s="35" t="n"/>
      <c r="D280" s="36" t="n"/>
      <c r="E280" s="37" t="n"/>
      <c r="F280" s="37" t="n"/>
      <c r="G280" s="38" t="n"/>
      <c r="H280" s="39" t="n"/>
      <c r="I280" s="38" t="n"/>
      <c r="J280" s="37" t="n"/>
      <c r="K280" s="38" t="n"/>
      <c r="L280" s="35" t="n"/>
      <c r="M280" s="35" t="n"/>
      <c r="N280" s="35" t="n"/>
    </row>
    <row r="281">
      <c r="A281" s="35" t="n"/>
      <c r="B281" s="35" t="n"/>
      <c r="C281" s="35" t="n"/>
      <c r="D281" s="36" t="n"/>
      <c r="E281" s="37" t="n"/>
      <c r="F281" s="37" t="n"/>
      <c r="G281" s="38" t="n"/>
      <c r="H281" s="39" t="n"/>
      <c r="I281" s="38" t="n"/>
      <c r="J281" s="37" t="n"/>
      <c r="K281" s="38" t="n"/>
      <c r="L281" s="35" t="n"/>
      <c r="M281" s="35" t="n"/>
      <c r="N281" s="35" t="n"/>
    </row>
    <row r="282">
      <c r="A282" s="35" t="n"/>
      <c r="B282" s="35" t="n"/>
      <c r="C282" s="35" t="n"/>
      <c r="D282" s="36" t="n"/>
      <c r="E282" s="37" t="n"/>
      <c r="F282" s="37" t="n"/>
      <c r="G282" s="38" t="n"/>
      <c r="H282" s="39" t="n"/>
      <c r="I282" s="38" t="n"/>
      <c r="J282" s="37" t="n"/>
      <c r="K282" s="38" t="n"/>
      <c r="L282" s="35" t="n"/>
      <c r="M282" s="35" t="n"/>
      <c r="N282" s="35" t="n"/>
    </row>
    <row r="283">
      <c r="A283" s="35" t="n"/>
      <c r="B283" s="35" t="n"/>
      <c r="C283" s="35" t="n"/>
      <c r="D283" s="36" t="n"/>
      <c r="E283" s="37" t="n"/>
      <c r="F283" s="37" t="n"/>
      <c r="G283" s="38" t="n"/>
      <c r="H283" s="39" t="n"/>
      <c r="I283" s="38" t="n"/>
      <c r="J283" s="37" t="n"/>
      <c r="K283" s="38" t="n"/>
      <c r="L283" s="35" t="n"/>
      <c r="M283" s="35" t="n"/>
      <c r="N283" s="35" t="n"/>
    </row>
    <row r="284">
      <c r="A284" s="35" t="n"/>
      <c r="B284" s="35" t="n"/>
      <c r="C284" s="35" t="n"/>
      <c r="D284" s="36" t="n"/>
      <c r="E284" s="37" t="n"/>
      <c r="F284" s="37" t="n"/>
      <c r="G284" s="38" t="n"/>
      <c r="H284" s="39" t="n"/>
      <c r="I284" s="38" t="n"/>
      <c r="J284" s="37" t="n"/>
      <c r="K284" s="38" t="n"/>
      <c r="L284" s="35" t="n"/>
      <c r="M284" s="35" t="n"/>
      <c r="N284" s="35" t="n"/>
    </row>
    <row r="285">
      <c r="A285" s="35" t="n"/>
      <c r="B285" s="35" t="n"/>
      <c r="C285" s="35" t="n"/>
      <c r="D285" s="36" t="n"/>
      <c r="E285" s="37" t="n"/>
      <c r="F285" s="37" t="n"/>
      <c r="G285" s="38" t="n"/>
      <c r="H285" s="39" t="n"/>
      <c r="I285" s="38" t="n"/>
      <c r="J285" s="37" t="n"/>
      <c r="K285" s="38" t="n"/>
      <c r="L285" s="35" t="n"/>
      <c r="M285" s="35" t="n"/>
      <c r="N285" s="35" t="n"/>
    </row>
    <row r="286">
      <c r="A286" s="35" t="n"/>
      <c r="B286" s="35" t="n"/>
      <c r="C286" s="35" t="n"/>
      <c r="D286" s="36" t="n"/>
      <c r="E286" s="37" t="n"/>
      <c r="F286" s="37" t="n"/>
      <c r="G286" s="38" t="n"/>
      <c r="H286" s="39" t="n"/>
      <c r="I286" s="38" t="n"/>
      <c r="J286" s="37" t="n"/>
      <c r="K286" s="38" t="n"/>
      <c r="L286" s="35" t="n"/>
      <c r="M286" s="35" t="n"/>
      <c r="N286" s="35" t="n"/>
    </row>
    <row r="287">
      <c r="A287" s="35" t="n"/>
      <c r="B287" s="35" t="n"/>
      <c r="C287" s="35" t="n"/>
      <c r="D287" s="36" t="n"/>
      <c r="E287" s="37" t="n"/>
      <c r="F287" s="37" t="n"/>
      <c r="G287" s="38" t="n"/>
      <c r="H287" s="39" t="n"/>
      <c r="I287" s="38" t="n"/>
      <c r="J287" s="37" t="n"/>
      <c r="K287" s="38" t="n"/>
      <c r="L287" s="35" t="n"/>
      <c r="M287" s="35" t="n"/>
      <c r="N287" s="35" t="n"/>
    </row>
    <row r="288">
      <c r="A288" s="35" t="n"/>
      <c r="B288" s="35" t="n"/>
      <c r="C288" s="35" t="n"/>
      <c r="D288" s="36" t="n"/>
      <c r="E288" s="37" t="n"/>
      <c r="F288" s="37" t="n"/>
      <c r="G288" s="38" t="n"/>
      <c r="H288" s="39" t="n"/>
      <c r="I288" s="38" t="n"/>
      <c r="J288" s="37" t="n"/>
      <c r="K288" s="38" t="n"/>
      <c r="L288" s="35" t="n"/>
      <c r="M288" s="35" t="n"/>
      <c r="N288" s="35" t="n"/>
    </row>
    <row r="289">
      <c r="A289" s="35" t="n"/>
      <c r="B289" s="35" t="n"/>
      <c r="C289" s="35" t="n"/>
      <c r="D289" s="36" t="n"/>
      <c r="E289" s="37" t="n"/>
      <c r="F289" s="37" t="n"/>
      <c r="G289" s="38" t="n"/>
      <c r="H289" s="39" t="n"/>
      <c r="I289" s="38" t="n"/>
      <c r="J289" s="37" t="n"/>
      <c r="K289" s="38" t="n"/>
      <c r="L289" s="35" t="n"/>
      <c r="M289" s="35" t="n"/>
      <c r="N289" s="35" t="n"/>
    </row>
    <row r="290">
      <c r="A290" s="35" t="n"/>
      <c r="B290" s="35" t="n"/>
      <c r="C290" s="35" t="n"/>
      <c r="D290" s="36" t="n"/>
      <c r="E290" s="37" t="n"/>
      <c r="F290" s="37" t="n"/>
      <c r="G290" s="38" t="n"/>
      <c r="H290" s="39" t="n"/>
      <c r="I290" s="38" t="n"/>
      <c r="J290" s="37" t="n"/>
      <c r="K290" s="38" t="n"/>
      <c r="L290" s="35" t="n"/>
      <c r="M290" s="35" t="n"/>
      <c r="N290" s="35" t="n"/>
    </row>
    <row r="291">
      <c r="A291" s="35" t="n"/>
      <c r="B291" s="35" t="n"/>
      <c r="C291" s="35" t="n"/>
      <c r="D291" s="36" t="n"/>
      <c r="E291" s="37" t="n"/>
      <c r="F291" s="37" t="n"/>
      <c r="G291" s="38" t="n"/>
      <c r="H291" s="39" t="n"/>
      <c r="I291" s="38" t="n"/>
      <c r="J291" s="37" t="n"/>
      <c r="K291" s="38" t="n"/>
      <c r="L291" s="35" t="n"/>
      <c r="M291" s="35" t="n"/>
      <c r="N291" s="35" t="n"/>
    </row>
    <row r="292">
      <c r="A292" s="35" t="n"/>
      <c r="B292" s="35" t="n"/>
      <c r="C292" s="35" t="n"/>
      <c r="D292" s="36" t="n"/>
      <c r="E292" s="37" t="n"/>
      <c r="F292" s="37" t="n"/>
      <c r="G292" s="38" t="n"/>
      <c r="H292" s="39" t="n"/>
      <c r="I292" s="38" t="n"/>
      <c r="J292" s="37" t="n"/>
      <c r="K292" s="38" t="n"/>
      <c r="L292" s="35" t="n"/>
      <c r="M292" s="35" t="n"/>
      <c r="N292" s="35" t="n"/>
    </row>
    <row r="293">
      <c r="A293" s="35" t="n"/>
      <c r="B293" s="35" t="n"/>
      <c r="C293" s="35" t="n"/>
      <c r="D293" s="36" t="n"/>
      <c r="E293" s="37" t="n"/>
      <c r="F293" s="37" t="n"/>
      <c r="G293" s="38" t="n"/>
      <c r="H293" s="39" t="n"/>
      <c r="I293" s="38" t="n"/>
      <c r="J293" s="37" t="n"/>
      <c r="K293" s="38" t="n"/>
      <c r="L293" s="35" t="n"/>
      <c r="M293" s="35" t="n"/>
      <c r="N293" s="35" t="n"/>
    </row>
    <row r="294">
      <c r="A294" s="35" t="n"/>
      <c r="B294" s="35" t="n"/>
      <c r="C294" s="35" t="n"/>
      <c r="D294" s="36" t="n"/>
      <c r="E294" s="37" t="n"/>
      <c r="F294" s="37" t="n"/>
      <c r="G294" s="38" t="n"/>
      <c r="H294" s="39" t="n"/>
      <c r="I294" s="38" t="n"/>
      <c r="J294" s="37" t="n"/>
      <c r="K294" s="38" t="n"/>
      <c r="L294" s="35" t="n"/>
      <c r="M294" s="35" t="n"/>
      <c r="N294" s="35" t="n"/>
    </row>
    <row r="295">
      <c r="A295" s="35" t="n"/>
      <c r="B295" s="35" t="n"/>
      <c r="C295" s="35" t="n"/>
      <c r="D295" s="36" t="n"/>
      <c r="E295" s="37" t="n"/>
      <c r="F295" s="37" t="n"/>
      <c r="G295" s="38" t="n"/>
      <c r="H295" s="39" t="n"/>
      <c r="I295" s="38" t="n"/>
      <c r="J295" s="37" t="n"/>
      <c r="K295" s="38" t="n"/>
      <c r="L295" s="35" t="n"/>
      <c r="M295" s="35" t="n"/>
      <c r="N295" s="35" t="n"/>
    </row>
    <row r="296">
      <c r="A296" s="35" t="n"/>
      <c r="B296" s="35" t="n"/>
      <c r="C296" s="35" t="n"/>
      <c r="D296" s="36" t="n"/>
      <c r="E296" s="37" t="n"/>
      <c r="F296" s="37" t="n"/>
      <c r="G296" s="38" t="n"/>
      <c r="H296" s="39" t="n"/>
      <c r="I296" s="38" t="n"/>
      <c r="J296" s="37" t="n"/>
      <c r="K296" s="38" t="n"/>
      <c r="L296" s="35" t="n"/>
      <c r="M296" s="35" t="n"/>
      <c r="N296" s="35" t="n"/>
    </row>
    <row r="297">
      <c r="A297" s="35" t="n"/>
      <c r="B297" s="35" t="n"/>
      <c r="C297" s="35" t="n"/>
      <c r="D297" s="36" t="n"/>
      <c r="E297" s="37" t="n"/>
      <c r="F297" s="37" t="n"/>
      <c r="G297" s="38" t="n"/>
      <c r="H297" s="39" t="n"/>
      <c r="I297" s="38" t="n"/>
      <c r="J297" s="37" t="n"/>
      <c r="K297" s="38" t="n"/>
      <c r="L297" s="35" t="n"/>
      <c r="M297" s="35" t="n"/>
      <c r="N297" s="35" t="n"/>
    </row>
    <row r="298">
      <c r="A298" s="35" t="n"/>
      <c r="B298" s="35" t="n"/>
      <c r="C298" s="35" t="n"/>
      <c r="D298" s="36" t="n"/>
      <c r="E298" s="37" t="n"/>
      <c r="F298" s="37" t="n"/>
      <c r="G298" s="38" t="n"/>
      <c r="H298" s="39" t="n"/>
      <c r="I298" s="38" t="n"/>
      <c r="J298" s="37" t="n"/>
      <c r="K298" s="38" t="n"/>
      <c r="L298" s="35" t="n"/>
      <c r="M298" s="35" t="n"/>
      <c r="N298" s="35" t="n"/>
    </row>
    <row r="299">
      <c r="A299" s="35" t="n"/>
      <c r="B299" s="35" t="n"/>
      <c r="C299" s="35" t="n"/>
      <c r="D299" s="36" t="n"/>
      <c r="E299" s="37" t="n"/>
      <c r="F299" s="37" t="n"/>
      <c r="G299" s="38" t="n"/>
      <c r="H299" s="39" t="n"/>
      <c r="I299" s="38" t="n"/>
      <c r="J299" s="37" t="n"/>
      <c r="K299" s="38" t="n"/>
      <c r="L299" s="35" t="n"/>
      <c r="M299" s="35" t="n"/>
      <c r="N299" s="35" t="n"/>
    </row>
    <row r="300">
      <c r="A300" s="35" t="n"/>
      <c r="B300" s="35" t="n"/>
      <c r="C300" s="35" t="n"/>
      <c r="D300" s="36" t="n"/>
      <c r="E300" s="37" t="n"/>
      <c r="F300" s="37" t="n"/>
      <c r="G300" s="38" t="n"/>
      <c r="H300" s="39" t="n"/>
      <c r="I300" s="38" t="n"/>
      <c r="J300" s="37" t="n"/>
      <c r="K300" s="38" t="n"/>
      <c r="L300" s="35" t="n"/>
      <c r="M300" s="35" t="n"/>
      <c r="N300" s="35" t="n"/>
    </row>
    <row r="301">
      <c r="A301" s="35" t="n"/>
      <c r="B301" s="35" t="n"/>
      <c r="C301" s="35" t="n"/>
      <c r="D301" s="36" t="n"/>
      <c r="E301" s="37" t="n"/>
      <c r="F301" s="37" t="n"/>
      <c r="G301" s="38" t="n"/>
      <c r="H301" s="39" t="n"/>
      <c r="I301" s="38" t="n"/>
      <c r="J301" s="37" t="n"/>
      <c r="K301" s="38" t="n"/>
      <c r="L301" s="35" t="n"/>
      <c r="M301" s="35" t="n"/>
      <c r="N301" s="35" t="n"/>
    </row>
    <row r="302">
      <c r="A302" s="35" t="n"/>
      <c r="B302" s="35" t="n"/>
      <c r="C302" s="35" t="n"/>
      <c r="D302" s="36" t="n"/>
      <c r="E302" s="37" t="n"/>
      <c r="F302" s="37" t="n"/>
      <c r="G302" s="38" t="n"/>
      <c r="H302" s="39" t="n"/>
      <c r="I302" s="38" t="n"/>
      <c r="J302" s="37" t="n"/>
      <c r="K302" s="38" t="n"/>
      <c r="L302" s="35" t="n"/>
      <c r="M302" s="35" t="n"/>
      <c r="N302" s="35" t="n"/>
    </row>
    <row r="303">
      <c r="A303" s="35" t="n"/>
      <c r="B303" s="35" t="n"/>
      <c r="C303" s="35" t="n"/>
      <c r="D303" s="36" t="n"/>
      <c r="E303" s="37" t="n"/>
      <c r="F303" s="37" t="n"/>
      <c r="G303" s="38" t="n"/>
      <c r="H303" s="39" t="n"/>
      <c r="I303" s="38" t="n"/>
      <c r="J303" s="37" t="n"/>
      <c r="K303" s="38" t="n"/>
      <c r="L303" s="35" t="n"/>
      <c r="M303" s="35" t="n"/>
      <c r="N303" s="35" t="n"/>
    </row>
    <row r="304">
      <c r="A304" s="35" t="n"/>
      <c r="B304" s="35" t="n"/>
      <c r="C304" s="35" t="n"/>
      <c r="D304" s="36" t="n"/>
      <c r="E304" s="37" t="n"/>
      <c r="F304" s="37" t="n"/>
      <c r="G304" s="38" t="n"/>
      <c r="H304" s="39" t="n"/>
      <c r="I304" s="38" t="n"/>
      <c r="J304" s="37" t="n"/>
      <c r="K304" s="38" t="n"/>
      <c r="L304" s="35" t="n"/>
      <c r="M304" s="35" t="n"/>
      <c r="N304" s="35" t="n"/>
    </row>
    <row r="305">
      <c r="A305" s="35" t="n"/>
      <c r="B305" s="35" t="n"/>
      <c r="C305" s="35" t="n"/>
      <c r="D305" s="36" t="n"/>
      <c r="E305" s="37" t="n"/>
      <c r="F305" s="37" t="n"/>
      <c r="G305" s="38" t="n"/>
      <c r="H305" s="39" t="n"/>
      <c r="I305" s="38" t="n"/>
      <c r="J305" s="37" t="n"/>
      <c r="K305" s="38" t="n"/>
      <c r="L305" s="35" t="n"/>
      <c r="M305" s="35" t="n"/>
      <c r="N305" s="35" t="n"/>
    </row>
    <row r="306">
      <c r="A306" s="35" t="n"/>
      <c r="B306" s="35" t="n"/>
      <c r="C306" s="35" t="n"/>
      <c r="D306" s="36" t="n"/>
      <c r="E306" s="37" t="n"/>
      <c r="F306" s="37" t="n"/>
      <c r="G306" s="38" t="n"/>
      <c r="H306" s="39" t="n"/>
      <c r="I306" s="38" t="n"/>
      <c r="J306" s="37" t="n"/>
      <c r="K306" s="38" t="n"/>
      <c r="L306" s="35" t="n"/>
      <c r="M306" s="35" t="n"/>
      <c r="N306" s="35" t="n"/>
    </row>
    <row r="307">
      <c r="A307" s="35" t="n"/>
      <c r="B307" s="35" t="n"/>
      <c r="C307" s="35" t="n"/>
      <c r="D307" s="36" t="n"/>
      <c r="E307" s="37" t="n"/>
      <c r="F307" s="37" t="n"/>
      <c r="G307" s="38" t="n"/>
      <c r="H307" s="39" t="n"/>
      <c r="I307" s="38" t="n"/>
      <c r="J307" s="37" t="n"/>
      <c r="K307" s="38" t="n"/>
      <c r="L307" s="35" t="n"/>
      <c r="M307" s="35" t="n"/>
      <c r="N307" s="35" t="n"/>
    </row>
    <row r="308">
      <c r="A308" s="35" t="n"/>
      <c r="B308" s="35" t="n"/>
      <c r="C308" s="35" t="n"/>
      <c r="D308" s="36" t="n"/>
      <c r="E308" s="37" t="n"/>
      <c r="F308" s="37" t="n"/>
      <c r="G308" s="38" t="n"/>
      <c r="H308" s="39" t="n"/>
      <c r="I308" s="38" t="n"/>
      <c r="J308" s="37" t="n"/>
      <c r="K308" s="38" t="n"/>
      <c r="L308" s="35" t="n"/>
      <c r="M308" s="35" t="n"/>
      <c r="N308" s="35" t="n"/>
    </row>
    <row r="309">
      <c r="A309" s="35" t="n"/>
      <c r="B309" s="35" t="n"/>
      <c r="C309" s="35" t="n"/>
      <c r="D309" s="36" t="n"/>
      <c r="E309" s="37" t="n"/>
      <c r="F309" s="37" t="n"/>
      <c r="G309" s="38" t="n"/>
      <c r="H309" s="39" t="n"/>
      <c r="I309" s="38" t="n"/>
      <c r="J309" s="37" t="n"/>
      <c r="K309" s="38" t="n"/>
      <c r="L309" s="35" t="n"/>
      <c r="M309" s="35" t="n"/>
      <c r="N309" s="35" t="n"/>
    </row>
  </sheetData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</hyperlinks>
  <pageMargins left="0.75" right="0.75" top="1" bottom="1" header="0.5" footer="0.5"/>
  <drawing xmlns:r="http://schemas.openxmlformats.org/officeDocument/2006/relationships" r:id="rId7"/>
  <tableParts count="1">
    <tablePart xmlns:r="http://schemas.openxmlformats.org/officeDocument/2006/relationships" r:id="rId8"/>
  </tableParts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O3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4" customWidth="1" min="4" max="4"/>
    <col width="40" customWidth="1" min="5" max="5"/>
    <col width="15" customWidth="1" min="6" max="6"/>
    <col width="13" customWidth="1" min="7" max="7"/>
    <col width="10" customWidth="1" min="8" max="8"/>
    <col width="15" customWidth="1" min="9" max="9"/>
    <col width="10" customWidth="1" min="10" max="10"/>
    <col width="10" customWidth="1" min="11" max="11"/>
    <col width="10" customWidth="1" min="12" max="12"/>
    <col width="10" customWidth="1" min="13" max="13"/>
    <col width="20" customWidth="1" min="14" max="14"/>
    <col width="28" customWidth="1" min="15" max="15"/>
  </cols>
  <sheetData>
    <row r="1">
      <c r="A1" s="1" t="inlineStr">
        <is>
          <t>Happy Hatch – SALES</t>
        </is>
      </c>
    </row>
    <row r="2">
      <c r="A2" s="4" t="inlineStr">
        <is>
          <t>Blue = enter / edit. One Order Number (HH_S000101, HH_S000102 ...) can have many rows - repeat the same Order Number, Date and Customer for each extra product. Customer Number &amp; Product Code must exist in CUSTOMERS / PRODUCTS. Product Name and Product price (= Net Price from PRODUCTS) are looked up. Net Amount = MRP × Quantity. GST / CGST / SGST / IGST (%) are the tax rates for the order - repeat the same rates on every row of an order (the invoice uses the first row). Enter only the taxes that apply.</t>
        </is>
      </c>
    </row>
    <row r="4" ht="32" customHeight="1">
      <c r="A4" s="21" t="inlineStr">
        <is>
          <t>Order Number</t>
        </is>
      </c>
      <c r="B4" s="21" t="inlineStr">
        <is>
          <t>Date of Sale</t>
        </is>
      </c>
      <c r="C4" s="21" t="inlineStr">
        <is>
          <t>Customer Number</t>
        </is>
      </c>
      <c r="D4" s="21" t="inlineStr">
        <is>
          <t>Product Code</t>
        </is>
      </c>
      <c r="E4" s="21" t="inlineStr">
        <is>
          <t>Product Name</t>
        </is>
      </c>
      <c r="F4" s="21" t="inlineStr">
        <is>
          <t>Product price</t>
        </is>
      </c>
      <c r="G4" s="21" t="inlineStr">
        <is>
          <t>MRP</t>
        </is>
      </c>
      <c r="H4" s="21" t="inlineStr">
        <is>
          <t>Quantity</t>
        </is>
      </c>
      <c r="I4" s="21" t="inlineStr">
        <is>
          <t>Net Amount</t>
        </is>
      </c>
      <c r="J4" s="21" t="inlineStr">
        <is>
          <t>GST (%)</t>
        </is>
      </c>
      <c r="K4" s="21" t="inlineStr">
        <is>
          <t>CGST (%)</t>
        </is>
      </c>
      <c r="L4" s="21" t="inlineStr">
        <is>
          <t>SGST (%)</t>
        </is>
      </c>
      <c r="M4" s="21" t="inlineStr">
        <is>
          <t>IGST (%)</t>
        </is>
      </c>
      <c r="N4" s="21" t="inlineStr">
        <is>
          <t>Invoice No.</t>
        </is>
      </c>
      <c r="O4" s="21" t="inlineStr">
        <is>
          <t>Remarks</t>
        </is>
      </c>
    </row>
    <row r="5">
      <c r="A5" s="40" t="inlineStr">
        <is>
          <t>HH_S000101</t>
        </is>
      </c>
      <c r="B5" s="41" t="n">
        <v>46283</v>
      </c>
      <c r="C5" s="40" t="inlineStr">
        <is>
          <t>CUS-001</t>
        </is>
      </c>
      <c r="D5" s="40" t="inlineStr">
        <is>
          <t>HH000101</t>
        </is>
      </c>
      <c r="E5" s="16">
        <f>IFERROR(INDEX(tblProducts[Product Name],MATCH(tblSales[[#This Row],[Product Code]],tblProducts[Product Code],0)),"")</f>
        <v/>
      </c>
      <c r="F5" s="42">
        <f>IFERROR(INDEX(tblProducts[Net Price],MATCH(tblSales[[#This Row],[Product Code]],tblProducts[Product Code],0)),0)</f>
        <v/>
      </c>
      <c r="G5" s="43" t="n">
        <v>399</v>
      </c>
      <c r="H5" s="44" t="n">
        <v>24</v>
      </c>
      <c r="I5" s="42">
        <f>tblSales[[#This Row],[MRP]]*tblSales[[#This Row],[Quantity]]</f>
        <v/>
      </c>
      <c r="J5" s="45" t="n">
        <v>0</v>
      </c>
      <c r="K5" s="45" t="n">
        <v>0.09</v>
      </c>
      <c r="L5" s="45" t="n">
        <v>0.09</v>
      </c>
      <c r="M5" s="45" t="n">
        <v>0</v>
      </c>
      <c r="N5" s="16">
        <f>"INV-"&amp;tblSales[[#This Row],[Order Number]]</f>
        <v/>
      </c>
      <c r="O5" s="40" t="n"/>
    </row>
    <row r="6">
      <c r="A6" s="40" t="inlineStr">
        <is>
          <t>HH_S000102</t>
        </is>
      </c>
      <c r="B6" s="41" t="n">
        <v>46287</v>
      </c>
      <c r="C6" s="40" t="inlineStr">
        <is>
          <t>CUS-002</t>
        </is>
      </c>
      <c r="D6" s="40" t="inlineStr">
        <is>
          <t>HH000102</t>
        </is>
      </c>
      <c r="E6" s="16">
        <f>IFERROR(INDEX(tblProducts[Product Name],MATCH(tblSales[[#This Row],[Product Code]],tblProducts[Product Code],0)),"")</f>
        <v/>
      </c>
      <c r="F6" s="42">
        <f>IFERROR(INDEX(tblProducts[Net Price],MATCH(tblSales[[#This Row],[Product Code]],tblProducts[Product Code],0)),0)</f>
        <v/>
      </c>
      <c r="G6" s="43" t="n">
        <v>1999</v>
      </c>
      <c r="H6" s="44" t="n">
        <v>12</v>
      </c>
      <c r="I6" s="42">
        <f>tblSales[[#This Row],[MRP]]*tblSales[[#This Row],[Quantity]]</f>
        <v/>
      </c>
      <c r="J6" s="45" t="n">
        <v>0</v>
      </c>
      <c r="K6" s="45" t="n">
        <v>0</v>
      </c>
      <c r="L6" s="45" t="n">
        <v>0</v>
      </c>
      <c r="M6" s="45" t="n">
        <v>0.18</v>
      </c>
      <c r="N6" s="16">
        <f>"INV-"&amp;tblSales[[#This Row],[Order Number]]</f>
        <v/>
      </c>
      <c r="O6" s="40" t="n"/>
    </row>
    <row r="7">
      <c r="A7" s="40" t="inlineStr">
        <is>
          <t>HH_S000103</t>
        </is>
      </c>
      <c r="B7" s="41" t="n">
        <v>46293</v>
      </c>
      <c r="C7" s="40" t="inlineStr">
        <is>
          <t>CUS-001</t>
        </is>
      </c>
      <c r="D7" s="40" t="inlineStr">
        <is>
          <t>HH000103</t>
        </is>
      </c>
      <c r="E7" s="16">
        <f>IFERROR(INDEX(tblProducts[Product Name],MATCH(tblSales[[#This Row],[Product Code]],tblProducts[Product Code],0)),"")</f>
        <v/>
      </c>
      <c r="F7" s="42">
        <f>IFERROR(INDEX(tblProducts[Net Price],MATCH(tblSales[[#This Row],[Product Code]],tblProducts[Product Code],0)),0)</f>
        <v/>
      </c>
      <c r="G7" s="43" t="n">
        <v>349</v>
      </c>
      <c r="H7" s="44" t="n">
        <v>36</v>
      </c>
      <c r="I7" s="42">
        <f>tblSales[[#This Row],[MRP]]*tblSales[[#This Row],[Quantity]]</f>
        <v/>
      </c>
      <c r="J7" s="45" t="n">
        <v>0</v>
      </c>
      <c r="K7" s="45" t="n">
        <v>0.09</v>
      </c>
      <c r="L7" s="45" t="n">
        <v>0.09</v>
      </c>
      <c r="M7" s="45" t="n">
        <v>0</v>
      </c>
      <c r="N7" s="16">
        <f>"INV-"&amp;tblSales[[#This Row],[Order Number]]</f>
        <v/>
      </c>
      <c r="O7" s="40" t="n"/>
    </row>
    <row r="8">
      <c r="A8" s="40" t="inlineStr">
        <is>
          <t>HH_S000104</t>
        </is>
      </c>
      <c r="B8" s="41" t="n">
        <v>46298</v>
      </c>
      <c r="C8" s="40" t="inlineStr">
        <is>
          <t>CUS-003</t>
        </is>
      </c>
      <c r="D8" s="40" t="inlineStr">
        <is>
          <t>HH000105</t>
        </is>
      </c>
      <c r="E8" s="16">
        <f>IFERROR(INDEX(tblProducts[Product Name],MATCH(tblSales[[#This Row],[Product Code]],tblProducts[Product Code],0)),"")</f>
        <v/>
      </c>
      <c r="F8" s="42">
        <f>IFERROR(INDEX(tblProducts[Net Price],MATCH(tblSales[[#This Row],[Product Code]],tblProducts[Product Code],0)),0)</f>
        <v/>
      </c>
      <c r="G8" s="43" t="n">
        <v>99</v>
      </c>
      <c r="H8" s="44" t="n">
        <v>170</v>
      </c>
      <c r="I8" s="42">
        <f>tblSales[[#This Row],[MRP]]*tblSales[[#This Row],[Quantity]]</f>
        <v/>
      </c>
      <c r="J8" s="45" t="n">
        <v>0</v>
      </c>
      <c r="K8" s="45" t="n">
        <v>0</v>
      </c>
      <c r="L8" s="45" t="n">
        <v>0</v>
      </c>
      <c r="M8" s="45" t="n">
        <v>0.18</v>
      </c>
      <c r="N8" s="16">
        <f>"INV-"&amp;tblSales[[#This Row],[Order Number]]</f>
        <v/>
      </c>
      <c r="O8" s="40" t="n"/>
    </row>
    <row r="9">
      <c r="A9" s="40" t="inlineStr">
        <is>
          <t>HH_S000104</t>
        </is>
      </c>
      <c r="B9" s="41" t="n">
        <v>46298</v>
      </c>
      <c r="C9" s="40" t="inlineStr">
        <is>
          <t>CUS-003</t>
        </is>
      </c>
      <c r="D9" s="40" t="inlineStr">
        <is>
          <t>HH000106</t>
        </is>
      </c>
      <c r="E9" s="16">
        <f>IFERROR(INDEX(tblProducts[Product Name],MATCH(tblSales[[#This Row],[Product Code]],tblProducts[Product Code],0)),"")</f>
        <v/>
      </c>
      <c r="F9" s="42">
        <f>IFERROR(INDEX(tblProducts[Net Price],MATCH(tblSales[[#This Row],[Product Code]],tblProducts[Product Code],0)),0)</f>
        <v/>
      </c>
      <c r="G9" s="43" t="n">
        <v>2999</v>
      </c>
      <c r="H9" s="44" t="n">
        <v>10</v>
      </c>
      <c r="I9" s="42">
        <f>tblSales[[#This Row],[MRP]]*tblSales[[#This Row],[Quantity]]</f>
        <v/>
      </c>
      <c r="J9" s="45" t="n">
        <v>0</v>
      </c>
      <c r="K9" s="45" t="n">
        <v>0</v>
      </c>
      <c r="L9" s="45" t="n">
        <v>0</v>
      </c>
      <c r="M9" s="45" t="n">
        <v>0.18</v>
      </c>
      <c r="N9" s="16">
        <f>"INV-"&amp;tblSales[[#This Row],[Order Number]]</f>
        <v/>
      </c>
      <c r="O9" s="40" t="n"/>
    </row>
    <row r="10">
      <c r="A10" s="40" t="inlineStr">
        <is>
          <t>HH_S000105</t>
        </is>
      </c>
      <c r="B10" s="41" t="n">
        <v>46300</v>
      </c>
      <c r="C10" s="40" t="inlineStr">
        <is>
          <t>CUS-001</t>
        </is>
      </c>
      <c r="D10" s="40" t="inlineStr">
        <is>
          <t>HH000104</t>
        </is>
      </c>
      <c r="E10" s="16">
        <f>IFERROR(INDEX(tblProducts[Product Name],MATCH(tblSales[[#This Row],[Product Code]],tblProducts[Product Code],0)),"")</f>
        <v/>
      </c>
      <c r="F10" s="42">
        <f>IFERROR(INDEX(tblProducts[Net Price],MATCH(tblSales[[#This Row],[Product Code]],tblProducts[Product Code],0)),0)</f>
        <v/>
      </c>
      <c r="G10" s="43" t="n">
        <v>1599</v>
      </c>
      <c r="H10" s="44" t="n">
        <v>12</v>
      </c>
      <c r="I10" s="42">
        <f>tblSales[[#This Row],[MRP]]*tblSales[[#This Row],[Quantity]]</f>
        <v/>
      </c>
      <c r="J10" s="45" t="n">
        <v>0</v>
      </c>
      <c r="K10" s="45" t="n">
        <v>0.09</v>
      </c>
      <c r="L10" s="45" t="n">
        <v>0.09</v>
      </c>
      <c r="M10" s="45" t="n">
        <v>0</v>
      </c>
      <c r="N10" s="16">
        <f>"INV-"&amp;tblSales[[#This Row],[Order Number]]</f>
        <v/>
      </c>
      <c r="O10" s="40" t="n"/>
    </row>
    <row r="11">
      <c r="A11" s="40" t="inlineStr">
        <is>
          <t>HH_S000105</t>
        </is>
      </c>
      <c r="B11" s="41" t="n">
        <v>46300</v>
      </c>
      <c r="C11" s="40" t="inlineStr">
        <is>
          <t>CUS-001</t>
        </is>
      </c>
      <c r="D11" s="40" t="inlineStr">
        <is>
          <t>HH000101</t>
        </is>
      </c>
      <c r="E11" s="16">
        <f>IFERROR(INDEX(tblProducts[Product Name],MATCH(tblSales[[#This Row],[Product Code]],tblProducts[Product Code],0)),"")</f>
        <v/>
      </c>
      <c r="F11" s="42">
        <f>IFERROR(INDEX(tblProducts[Net Price],MATCH(tblSales[[#This Row],[Product Code]],tblProducts[Product Code],0)),0)</f>
        <v/>
      </c>
      <c r="G11" s="43" t="n">
        <v>399</v>
      </c>
      <c r="H11" s="44" t="n">
        <v>12</v>
      </c>
      <c r="I11" s="42">
        <f>tblSales[[#This Row],[MRP]]*tblSales[[#This Row],[Quantity]]</f>
        <v/>
      </c>
      <c r="J11" s="45" t="n">
        <v>0</v>
      </c>
      <c r="K11" s="45" t="n">
        <v>0.09</v>
      </c>
      <c r="L11" s="45" t="n">
        <v>0.09</v>
      </c>
      <c r="M11" s="45" t="n">
        <v>0</v>
      </c>
      <c r="N11" s="16">
        <f>"INV-"&amp;tblSales[[#This Row],[Order Number]]</f>
        <v/>
      </c>
      <c r="O11" s="40" t="n"/>
    </row>
    <row r="12">
      <c r="A12" s="40" t="inlineStr">
        <is>
          <t>HH_S000106</t>
        </is>
      </c>
      <c r="B12" s="41" t="n">
        <v>46303</v>
      </c>
      <c r="C12" s="40" t="inlineStr">
        <is>
          <t>CUS-004</t>
        </is>
      </c>
      <c r="D12" s="40" t="inlineStr">
        <is>
          <t>HH000103</t>
        </is>
      </c>
      <c r="E12" s="16">
        <f>IFERROR(INDEX(tblProducts[Product Name],MATCH(tblSales[[#This Row],[Product Code]],tblProducts[Product Code],0)),"")</f>
        <v/>
      </c>
      <c r="F12" s="42">
        <f>IFERROR(INDEX(tblProducts[Net Price],MATCH(tblSales[[#This Row],[Product Code]],tblProducts[Product Code],0)),0)</f>
        <v/>
      </c>
      <c r="G12" s="43" t="n">
        <v>349</v>
      </c>
      <c r="H12" s="44" t="n">
        <v>24</v>
      </c>
      <c r="I12" s="42">
        <f>tblSales[[#This Row],[MRP]]*tblSales[[#This Row],[Quantity]]</f>
        <v/>
      </c>
      <c r="J12" s="45" t="n">
        <v>0</v>
      </c>
      <c r="K12" s="45" t="n">
        <v>0</v>
      </c>
      <c r="L12" s="45" t="n">
        <v>0</v>
      </c>
      <c r="M12" s="45" t="n">
        <v>0.18</v>
      </c>
      <c r="N12" s="16">
        <f>"INV-"&amp;tblSales[[#This Row],[Order Number]]</f>
        <v/>
      </c>
      <c r="O12" s="40" t="n"/>
    </row>
    <row r="13">
      <c r="A13" s="35" t="n"/>
      <c r="B13" s="46" t="n"/>
      <c r="C13" s="35" t="n"/>
      <c r="D13" s="35" t="n"/>
      <c r="E13" s="47" t="n"/>
      <c r="F13" s="38" t="n"/>
      <c r="G13" s="37" t="n"/>
      <c r="H13" s="48" t="n"/>
      <c r="I13" s="38" t="n"/>
      <c r="J13" s="39" t="n"/>
      <c r="K13" s="39" t="n"/>
      <c r="L13" s="39" t="n"/>
      <c r="M13" s="39" t="n"/>
      <c r="N13" s="47" t="n"/>
      <c r="O13" s="35" t="n"/>
    </row>
    <row r="14">
      <c r="A14" s="35" t="n"/>
      <c r="B14" s="46" t="n"/>
      <c r="C14" s="35" t="n"/>
      <c r="D14" s="35" t="n"/>
      <c r="E14" s="47" t="n"/>
      <c r="F14" s="38" t="n"/>
      <c r="G14" s="37" t="n"/>
      <c r="H14" s="48" t="n"/>
      <c r="I14" s="38" t="n"/>
      <c r="J14" s="39" t="n"/>
      <c r="K14" s="39" t="n"/>
      <c r="L14" s="39" t="n"/>
      <c r="M14" s="39" t="n"/>
      <c r="N14" s="47" t="n"/>
      <c r="O14" s="35" t="n"/>
    </row>
    <row r="15">
      <c r="A15" s="35" t="n"/>
      <c r="B15" s="46" t="n"/>
      <c r="C15" s="35" t="n"/>
      <c r="D15" s="35" t="n"/>
      <c r="E15" s="47" t="n"/>
      <c r="F15" s="38" t="n"/>
      <c r="G15" s="37" t="n"/>
      <c r="H15" s="48" t="n"/>
      <c r="I15" s="38" t="n"/>
      <c r="J15" s="39" t="n"/>
      <c r="K15" s="39" t="n"/>
      <c r="L15" s="39" t="n"/>
      <c r="M15" s="39" t="n"/>
      <c r="N15" s="47" t="n"/>
      <c r="O15" s="35" t="n"/>
    </row>
    <row r="16">
      <c r="A16" s="35" t="n"/>
      <c r="B16" s="46" t="n"/>
      <c r="C16" s="35" t="n"/>
      <c r="D16" s="35" t="n"/>
      <c r="E16" s="47" t="n"/>
      <c r="F16" s="38" t="n"/>
      <c r="G16" s="37" t="n"/>
      <c r="H16" s="48" t="n"/>
      <c r="I16" s="38" t="n"/>
      <c r="J16" s="39" t="n"/>
      <c r="K16" s="39" t="n"/>
      <c r="L16" s="39" t="n"/>
      <c r="M16" s="39" t="n"/>
      <c r="N16" s="47" t="n"/>
      <c r="O16" s="35" t="n"/>
    </row>
    <row r="17">
      <c r="A17" s="35" t="n"/>
      <c r="B17" s="46" t="n"/>
      <c r="C17" s="35" t="n"/>
      <c r="D17" s="35" t="n"/>
      <c r="E17" s="47" t="n"/>
      <c r="F17" s="38" t="n"/>
      <c r="G17" s="37" t="n"/>
      <c r="H17" s="48" t="n"/>
      <c r="I17" s="38" t="n"/>
      <c r="J17" s="39" t="n"/>
      <c r="K17" s="39" t="n"/>
      <c r="L17" s="39" t="n"/>
      <c r="M17" s="39" t="n"/>
      <c r="N17" s="47" t="n"/>
      <c r="O17" s="35" t="n"/>
    </row>
    <row r="18">
      <c r="A18" s="35" t="n"/>
      <c r="B18" s="46" t="n"/>
      <c r="C18" s="35" t="n"/>
      <c r="D18" s="35" t="n"/>
      <c r="E18" s="47" t="n"/>
      <c r="F18" s="38" t="n"/>
      <c r="G18" s="37" t="n"/>
      <c r="H18" s="48" t="n"/>
      <c r="I18" s="38" t="n"/>
      <c r="J18" s="39" t="n"/>
      <c r="K18" s="39" t="n"/>
      <c r="L18" s="39" t="n"/>
      <c r="M18" s="39" t="n"/>
      <c r="N18" s="47" t="n"/>
      <c r="O18" s="35" t="n"/>
    </row>
    <row r="19">
      <c r="A19" s="35" t="n"/>
      <c r="B19" s="46" t="n"/>
      <c r="C19" s="35" t="n"/>
      <c r="D19" s="35" t="n"/>
      <c r="E19" s="47" t="n"/>
      <c r="F19" s="38" t="n"/>
      <c r="G19" s="37" t="n"/>
      <c r="H19" s="48" t="n"/>
      <c r="I19" s="38" t="n"/>
      <c r="J19" s="39" t="n"/>
      <c r="K19" s="39" t="n"/>
      <c r="L19" s="39" t="n"/>
      <c r="M19" s="39" t="n"/>
      <c r="N19" s="47" t="n"/>
      <c r="O19" s="35" t="n"/>
    </row>
    <row r="20">
      <c r="A20" s="35" t="n"/>
      <c r="B20" s="46" t="n"/>
      <c r="C20" s="35" t="n"/>
      <c r="D20" s="35" t="n"/>
      <c r="E20" s="47" t="n"/>
      <c r="F20" s="38" t="n"/>
      <c r="G20" s="37" t="n"/>
      <c r="H20" s="48" t="n"/>
      <c r="I20" s="38" t="n"/>
      <c r="J20" s="39" t="n"/>
      <c r="K20" s="39" t="n"/>
      <c r="L20" s="39" t="n"/>
      <c r="M20" s="39" t="n"/>
      <c r="N20" s="47" t="n"/>
      <c r="O20" s="35" t="n"/>
    </row>
    <row r="21">
      <c r="A21" s="35" t="n"/>
      <c r="B21" s="46" t="n"/>
      <c r="C21" s="35" t="n"/>
      <c r="D21" s="35" t="n"/>
      <c r="E21" s="47" t="n"/>
      <c r="F21" s="38" t="n"/>
      <c r="G21" s="37" t="n"/>
      <c r="H21" s="48" t="n"/>
      <c r="I21" s="38" t="n"/>
      <c r="J21" s="39" t="n"/>
      <c r="K21" s="39" t="n"/>
      <c r="L21" s="39" t="n"/>
      <c r="M21" s="39" t="n"/>
      <c r="N21" s="47" t="n"/>
      <c r="O21" s="35" t="n"/>
    </row>
    <row r="22">
      <c r="A22" s="35" t="n"/>
      <c r="B22" s="46" t="n"/>
      <c r="C22" s="35" t="n"/>
      <c r="D22" s="35" t="n"/>
      <c r="E22" s="47" t="n"/>
      <c r="F22" s="38" t="n"/>
      <c r="G22" s="37" t="n"/>
      <c r="H22" s="48" t="n"/>
      <c r="I22" s="38" t="n"/>
      <c r="J22" s="39" t="n"/>
      <c r="K22" s="39" t="n"/>
      <c r="L22" s="39" t="n"/>
      <c r="M22" s="39" t="n"/>
      <c r="N22" s="47" t="n"/>
      <c r="O22" s="35" t="n"/>
    </row>
    <row r="23">
      <c r="A23" s="35" t="n"/>
      <c r="B23" s="46" t="n"/>
      <c r="C23" s="35" t="n"/>
      <c r="D23" s="35" t="n"/>
      <c r="E23" s="47" t="n"/>
      <c r="F23" s="38" t="n"/>
      <c r="G23" s="37" t="n"/>
      <c r="H23" s="48" t="n"/>
      <c r="I23" s="38" t="n"/>
      <c r="J23" s="39" t="n"/>
      <c r="K23" s="39" t="n"/>
      <c r="L23" s="39" t="n"/>
      <c r="M23" s="39" t="n"/>
      <c r="N23" s="47" t="n"/>
      <c r="O23" s="35" t="n"/>
    </row>
    <row r="24">
      <c r="A24" s="35" t="n"/>
      <c r="B24" s="46" t="n"/>
      <c r="C24" s="35" t="n"/>
      <c r="D24" s="35" t="n"/>
      <c r="E24" s="47" t="n"/>
      <c r="F24" s="38" t="n"/>
      <c r="G24" s="37" t="n"/>
      <c r="H24" s="48" t="n"/>
      <c r="I24" s="38" t="n"/>
      <c r="J24" s="39" t="n"/>
      <c r="K24" s="39" t="n"/>
      <c r="L24" s="39" t="n"/>
      <c r="M24" s="39" t="n"/>
      <c r="N24" s="47" t="n"/>
      <c r="O24" s="35" t="n"/>
    </row>
    <row r="25">
      <c r="A25" s="35" t="n"/>
      <c r="B25" s="46" t="n"/>
      <c r="C25" s="35" t="n"/>
      <c r="D25" s="35" t="n"/>
      <c r="E25" s="47" t="n"/>
      <c r="F25" s="38" t="n"/>
      <c r="G25" s="37" t="n"/>
      <c r="H25" s="48" t="n"/>
      <c r="I25" s="38" t="n"/>
      <c r="J25" s="39" t="n"/>
      <c r="K25" s="39" t="n"/>
      <c r="L25" s="39" t="n"/>
      <c r="M25" s="39" t="n"/>
      <c r="N25" s="47" t="n"/>
      <c r="O25" s="35" t="n"/>
    </row>
    <row r="26">
      <c r="A26" s="35" t="n"/>
      <c r="B26" s="46" t="n"/>
      <c r="C26" s="35" t="n"/>
      <c r="D26" s="35" t="n"/>
      <c r="E26" s="47" t="n"/>
      <c r="F26" s="38" t="n"/>
      <c r="G26" s="37" t="n"/>
      <c r="H26" s="48" t="n"/>
      <c r="I26" s="38" t="n"/>
      <c r="J26" s="39" t="n"/>
      <c r="K26" s="39" t="n"/>
      <c r="L26" s="39" t="n"/>
      <c r="M26" s="39" t="n"/>
      <c r="N26" s="47" t="n"/>
      <c r="O26" s="35" t="n"/>
    </row>
    <row r="27">
      <c r="A27" s="35" t="n"/>
      <c r="B27" s="46" t="n"/>
      <c r="C27" s="35" t="n"/>
      <c r="D27" s="35" t="n"/>
      <c r="E27" s="47" t="n"/>
      <c r="F27" s="38" t="n"/>
      <c r="G27" s="37" t="n"/>
      <c r="H27" s="48" t="n"/>
      <c r="I27" s="38" t="n"/>
      <c r="J27" s="39" t="n"/>
      <c r="K27" s="39" t="n"/>
      <c r="L27" s="39" t="n"/>
      <c r="M27" s="39" t="n"/>
      <c r="N27" s="47" t="n"/>
      <c r="O27" s="35" t="n"/>
    </row>
    <row r="28">
      <c r="A28" s="35" t="n"/>
      <c r="B28" s="46" t="n"/>
      <c r="C28" s="35" t="n"/>
      <c r="D28" s="35" t="n"/>
      <c r="E28" s="47" t="n"/>
      <c r="F28" s="38" t="n"/>
      <c r="G28" s="37" t="n"/>
      <c r="H28" s="48" t="n"/>
      <c r="I28" s="38" t="n"/>
      <c r="J28" s="39" t="n"/>
      <c r="K28" s="39" t="n"/>
      <c r="L28" s="39" t="n"/>
      <c r="M28" s="39" t="n"/>
      <c r="N28" s="47" t="n"/>
      <c r="O28" s="35" t="n"/>
    </row>
    <row r="29">
      <c r="A29" s="35" t="n"/>
      <c r="B29" s="46" t="n"/>
      <c r="C29" s="35" t="n"/>
      <c r="D29" s="35" t="n"/>
      <c r="E29" s="47" t="n"/>
      <c r="F29" s="38" t="n"/>
      <c r="G29" s="37" t="n"/>
      <c r="H29" s="48" t="n"/>
      <c r="I29" s="38" t="n"/>
      <c r="J29" s="39" t="n"/>
      <c r="K29" s="39" t="n"/>
      <c r="L29" s="39" t="n"/>
      <c r="M29" s="39" t="n"/>
      <c r="N29" s="47" t="n"/>
      <c r="O29" s="35" t="n"/>
    </row>
    <row r="30">
      <c r="A30" s="35" t="n"/>
      <c r="B30" s="46" t="n"/>
      <c r="C30" s="35" t="n"/>
      <c r="D30" s="35" t="n"/>
      <c r="E30" s="47" t="n"/>
      <c r="F30" s="38" t="n"/>
      <c r="G30" s="37" t="n"/>
      <c r="H30" s="48" t="n"/>
      <c r="I30" s="38" t="n"/>
      <c r="J30" s="39" t="n"/>
      <c r="K30" s="39" t="n"/>
      <c r="L30" s="39" t="n"/>
      <c r="M30" s="39" t="n"/>
      <c r="N30" s="47" t="n"/>
      <c r="O30" s="35" t="n"/>
    </row>
    <row r="31">
      <c r="A31" s="35" t="n"/>
      <c r="B31" s="46" t="n"/>
      <c r="C31" s="35" t="n"/>
      <c r="D31" s="35" t="n"/>
      <c r="E31" s="47" t="n"/>
      <c r="F31" s="38" t="n"/>
      <c r="G31" s="37" t="n"/>
      <c r="H31" s="48" t="n"/>
      <c r="I31" s="38" t="n"/>
      <c r="J31" s="39" t="n"/>
      <c r="K31" s="39" t="n"/>
      <c r="L31" s="39" t="n"/>
      <c r="M31" s="39" t="n"/>
      <c r="N31" s="47" t="n"/>
      <c r="O31" s="35" t="n"/>
    </row>
    <row r="32">
      <c r="A32" s="35" t="n"/>
      <c r="B32" s="46" t="n"/>
      <c r="C32" s="35" t="n"/>
      <c r="D32" s="35" t="n"/>
      <c r="E32" s="47" t="n"/>
      <c r="F32" s="38" t="n"/>
      <c r="G32" s="37" t="n"/>
      <c r="H32" s="48" t="n"/>
      <c r="I32" s="38" t="n"/>
      <c r="J32" s="39" t="n"/>
      <c r="K32" s="39" t="n"/>
      <c r="L32" s="39" t="n"/>
      <c r="M32" s="39" t="n"/>
      <c r="N32" s="47" t="n"/>
      <c r="O32" s="35" t="n"/>
    </row>
    <row r="33">
      <c r="A33" s="35" t="n"/>
      <c r="B33" s="46" t="n"/>
      <c r="C33" s="35" t="n"/>
      <c r="D33" s="35" t="n"/>
      <c r="E33" s="47" t="n"/>
      <c r="F33" s="38" t="n"/>
      <c r="G33" s="37" t="n"/>
      <c r="H33" s="48" t="n"/>
      <c r="I33" s="38" t="n"/>
      <c r="J33" s="39" t="n"/>
      <c r="K33" s="39" t="n"/>
      <c r="L33" s="39" t="n"/>
      <c r="M33" s="39" t="n"/>
      <c r="N33" s="47" t="n"/>
      <c r="O33" s="35" t="n"/>
    </row>
    <row r="34">
      <c r="A34" s="35" t="n"/>
      <c r="B34" s="46" t="n"/>
      <c r="C34" s="35" t="n"/>
      <c r="D34" s="35" t="n"/>
      <c r="E34" s="47" t="n"/>
      <c r="F34" s="38" t="n"/>
      <c r="G34" s="37" t="n"/>
      <c r="H34" s="48" t="n"/>
      <c r="I34" s="38" t="n"/>
      <c r="J34" s="39" t="n"/>
      <c r="K34" s="39" t="n"/>
      <c r="L34" s="39" t="n"/>
      <c r="M34" s="39" t="n"/>
      <c r="N34" s="47" t="n"/>
      <c r="O34" s="35" t="n"/>
    </row>
    <row r="35">
      <c r="A35" s="35" t="n"/>
      <c r="B35" s="46" t="n"/>
      <c r="C35" s="35" t="n"/>
      <c r="D35" s="35" t="n"/>
      <c r="E35" s="47" t="n"/>
      <c r="F35" s="38" t="n"/>
      <c r="G35" s="37" t="n"/>
      <c r="H35" s="48" t="n"/>
      <c r="I35" s="38" t="n"/>
      <c r="J35" s="39" t="n"/>
      <c r="K35" s="39" t="n"/>
      <c r="L35" s="39" t="n"/>
      <c r="M35" s="39" t="n"/>
      <c r="N35" s="47" t="n"/>
      <c r="O35" s="35" t="n"/>
    </row>
    <row r="36">
      <c r="A36" s="35" t="n"/>
      <c r="B36" s="46" t="n"/>
      <c r="C36" s="35" t="n"/>
      <c r="D36" s="35" t="n"/>
      <c r="E36" s="47" t="n"/>
      <c r="F36" s="38" t="n"/>
      <c r="G36" s="37" t="n"/>
      <c r="H36" s="48" t="n"/>
      <c r="I36" s="38" t="n"/>
      <c r="J36" s="39" t="n"/>
      <c r="K36" s="39" t="n"/>
      <c r="L36" s="39" t="n"/>
      <c r="M36" s="39" t="n"/>
      <c r="N36" s="47" t="n"/>
      <c r="O36" s="35" t="n"/>
    </row>
    <row r="37">
      <c r="A37" s="35" t="n"/>
      <c r="B37" s="46" t="n"/>
      <c r="C37" s="35" t="n"/>
      <c r="D37" s="35" t="n"/>
      <c r="E37" s="47" t="n"/>
      <c r="F37" s="38" t="n"/>
      <c r="G37" s="37" t="n"/>
      <c r="H37" s="48" t="n"/>
      <c r="I37" s="38" t="n"/>
      <c r="J37" s="39" t="n"/>
      <c r="K37" s="39" t="n"/>
      <c r="L37" s="39" t="n"/>
      <c r="M37" s="39" t="n"/>
      <c r="N37" s="47" t="n"/>
      <c r="O37" s="35" t="n"/>
    </row>
    <row r="38">
      <c r="A38" s="35" t="n"/>
      <c r="B38" s="46" t="n"/>
      <c r="C38" s="35" t="n"/>
      <c r="D38" s="35" t="n"/>
      <c r="E38" s="47" t="n"/>
      <c r="F38" s="38" t="n"/>
      <c r="G38" s="37" t="n"/>
      <c r="H38" s="48" t="n"/>
      <c r="I38" s="38" t="n"/>
      <c r="J38" s="39" t="n"/>
      <c r="K38" s="39" t="n"/>
      <c r="L38" s="39" t="n"/>
      <c r="M38" s="39" t="n"/>
      <c r="N38" s="47" t="n"/>
      <c r="O38" s="35" t="n"/>
    </row>
    <row r="39">
      <c r="A39" s="35" t="n"/>
      <c r="B39" s="46" t="n"/>
      <c r="C39" s="35" t="n"/>
      <c r="D39" s="35" t="n"/>
      <c r="E39" s="47" t="n"/>
      <c r="F39" s="38" t="n"/>
      <c r="G39" s="37" t="n"/>
      <c r="H39" s="48" t="n"/>
      <c r="I39" s="38" t="n"/>
      <c r="J39" s="39" t="n"/>
      <c r="K39" s="39" t="n"/>
      <c r="L39" s="39" t="n"/>
      <c r="M39" s="39" t="n"/>
      <c r="N39" s="47" t="n"/>
      <c r="O39" s="35" t="n"/>
    </row>
    <row r="40">
      <c r="A40" s="35" t="n"/>
      <c r="B40" s="46" t="n"/>
      <c r="C40" s="35" t="n"/>
      <c r="D40" s="35" t="n"/>
      <c r="E40" s="47" t="n"/>
      <c r="F40" s="38" t="n"/>
      <c r="G40" s="37" t="n"/>
      <c r="H40" s="48" t="n"/>
      <c r="I40" s="38" t="n"/>
      <c r="J40" s="39" t="n"/>
      <c r="K40" s="39" t="n"/>
      <c r="L40" s="39" t="n"/>
      <c r="M40" s="39" t="n"/>
      <c r="N40" s="47" t="n"/>
      <c r="O40" s="35" t="n"/>
    </row>
    <row r="41">
      <c r="A41" s="35" t="n"/>
      <c r="B41" s="46" t="n"/>
      <c r="C41" s="35" t="n"/>
      <c r="D41" s="35" t="n"/>
      <c r="E41" s="47" t="n"/>
      <c r="F41" s="38" t="n"/>
      <c r="G41" s="37" t="n"/>
      <c r="H41" s="48" t="n"/>
      <c r="I41" s="38" t="n"/>
      <c r="J41" s="39" t="n"/>
      <c r="K41" s="39" t="n"/>
      <c r="L41" s="39" t="n"/>
      <c r="M41" s="39" t="n"/>
      <c r="N41" s="47" t="n"/>
      <c r="O41" s="35" t="n"/>
    </row>
    <row r="42">
      <c r="A42" s="35" t="n"/>
      <c r="B42" s="46" t="n"/>
      <c r="C42" s="35" t="n"/>
      <c r="D42" s="35" t="n"/>
      <c r="E42" s="47" t="n"/>
      <c r="F42" s="38" t="n"/>
      <c r="G42" s="37" t="n"/>
      <c r="H42" s="48" t="n"/>
      <c r="I42" s="38" t="n"/>
      <c r="J42" s="39" t="n"/>
      <c r="K42" s="39" t="n"/>
      <c r="L42" s="39" t="n"/>
      <c r="M42" s="39" t="n"/>
      <c r="N42" s="47" t="n"/>
      <c r="O42" s="35" t="n"/>
    </row>
    <row r="43">
      <c r="A43" s="35" t="n"/>
      <c r="B43" s="46" t="n"/>
      <c r="C43" s="35" t="n"/>
      <c r="D43" s="35" t="n"/>
      <c r="E43" s="47" t="n"/>
      <c r="F43" s="38" t="n"/>
      <c r="G43" s="37" t="n"/>
      <c r="H43" s="48" t="n"/>
      <c r="I43" s="38" t="n"/>
      <c r="J43" s="39" t="n"/>
      <c r="K43" s="39" t="n"/>
      <c r="L43" s="39" t="n"/>
      <c r="M43" s="39" t="n"/>
      <c r="N43" s="47" t="n"/>
      <c r="O43" s="35" t="n"/>
    </row>
    <row r="44">
      <c r="A44" s="35" t="n"/>
      <c r="B44" s="46" t="n"/>
      <c r="C44" s="35" t="n"/>
      <c r="D44" s="35" t="n"/>
      <c r="E44" s="47" t="n"/>
      <c r="F44" s="38" t="n"/>
      <c r="G44" s="37" t="n"/>
      <c r="H44" s="48" t="n"/>
      <c r="I44" s="38" t="n"/>
      <c r="J44" s="39" t="n"/>
      <c r="K44" s="39" t="n"/>
      <c r="L44" s="39" t="n"/>
      <c r="M44" s="39" t="n"/>
      <c r="N44" s="47" t="n"/>
      <c r="O44" s="35" t="n"/>
    </row>
    <row r="45">
      <c r="A45" s="35" t="n"/>
      <c r="B45" s="46" t="n"/>
      <c r="C45" s="35" t="n"/>
      <c r="D45" s="35" t="n"/>
      <c r="E45" s="47" t="n"/>
      <c r="F45" s="38" t="n"/>
      <c r="G45" s="37" t="n"/>
      <c r="H45" s="48" t="n"/>
      <c r="I45" s="38" t="n"/>
      <c r="J45" s="39" t="n"/>
      <c r="K45" s="39" t="n"/>
      <c r="L45" s="39" t="n"/>
      <c r="M45" s="39" t="n"/>
      <c r="N45" s="47" t="n"/>
      <c r="O45" s="35" t="n"/>
    </row>
    <row r="46">
      <c r="A46" s="35" t="n"/>
      <c r="B46" s="46" t="n"/>
      <c r="C46" s="35" t="n"/>
      <c r="D46" s="35" t="n"/>
      <c r="E46" s="47" t="n"/>
      <c r="F46" s="38" t="n"/>
      <c r="G46" s="37" t="n"/>
      <c r="H46" s="48" t="n"/>
      <c r="I46" s="38" t="n"/>
      <c r="J46" s="39" t="n"/>
      <c r="K46" s="39" t="n"/>
      <c r="L46" s="39" t="n"/>
      <c r="M46" s="39" t="n"/>
      <c r="N46" s="47" t="n"/>
      <c r="O46" s="35" t="n"/>
    </row>
    <row r="47">
      <c r="A47" s="35" t="n"/>
      <c r="B47" s="46" t="n"/>
      <c r="C47" s="35" t="n"/>
      <c r="D47" s="35" t="n"/>
      <c r="E47" s="47" t="n"/>
      <c r="F47" s="38" t="n"/>
      <c r="G47" s="37" t="n"/>
      <c r="H47" s="48" t="n"/>
      <c r="I47" s="38" t="n"/>
      <c r="J47" s="39" t="n"/>
      <c r="K47" s="39" t="n"/>
      <c r="L47" s="39" t="n"/>
      <c r="M47" s="39" t="n"/>
      <c r="N47" s="47" t="n"/>
      <c r="O47" s="35" t="n"/>
    </row>
    <row r="48">
      <c r="A48" s="35" t="n"/>
      <c r="B48" s="46" t="n"/>
      <c r="C48" s="35" t="n"/>
      <c r="D48" s="35" t="n"/>
      <c r="E48" s="47" t="n"/>
      <c r="F48" s="38" t="n"/>
      <c r="G48" s="37" t="n"/>
      <c r="H48" s="48" t="n"/>
      <c r="I48" s="38" t="n"/>
      <c r="J48" s="39" t="n"/>
      <c r="K48" s="39" t="n"/>
      <c r="L48" s="39" t="n"/>
      <c r="M48" s="39" t="n"/>
      <c r="N48" s="47" t="n"/>
      <c r="O48" s="35" t="n"/>
    </row>
    <row r="49">
      <c r="A49" s="35" t="n"/>
      <c r="B49" s="46" t="n"/>
      <c r="C49" s="35" t="n"/>
      <c r="D49" s="35" t="n"/>
      <c r="E49" s="47" t="n"/>
      <c r="F49" s="38" t="n"/>
      <c r="G49" s="37" t="n"/>
      <c r="H49" s="48" t="n"/>
      <c r="I49" s="38" t="n"/>
      <c r="J49" s="39" t="n"/>
      <c r="K49" s="39" t="n"/>
      <c r="L49" s="39" t="n"/>
      <c r="M49" s="39" t="n"/>
      <c r="N49" s="47" t="n"/>
      <c r="O49" s="35" t="n"/>
    </row>
    <row r="50">
      <c r="A50" s="35" t="n"/>
      <c r="B50" s="46" t="n"/>
      <c r="C50" s="35" t="n"/>
      <c r="D50" s="35" t="n"/>
      <c r="E50" s="47" t="n"/>
      <c r="F50" s="38" t="n"/>
      <c r="G50" s="37" t="n"/>
      <c r="H50" s="48" t="n"/>
      <c r="I50" s="38" t="n"/>
      <c r="J50" s="39" t="n"/>
      <c r="K50" s="39" t="n"/>
      <c r="L50" s="39" t="n"/>
      <c r="M50" s="39" t="n"/>
      <c r="N50" s="47" t="n"/>
      <c r="O50" s="35" t="n"/>
    </row>
    <row r="51">
      <c r="A51" s="35" t="n"/>
      <c r="B51" s="46" t="n"/>
      <c r="C51" s="35" t="n"/>
      <c r="D51" s="35" t="n"/>
      <c r="E51" s="47" t="n"/>
      <c r="F51" s="38" t="n"/>
      <c r="G51" s="37" t="n"/>
      <c r="H51" s="48" t="n"/>
      <c r="I51" s="38" t="n"/>
      <c r="J51" s="39" t="n"/>
      <c r="K51" s="39" t="n"/>
      <c r="L51" s="39" t="n"/>
      <c r="M51" s="39" t="n"/>
      <c r="N51" s="47" t="n"/>
      <c r="O51" s="35" t="n"/>
    </row>
    <row r="52">
      <c r="A52" s="35" t="n"/>
      <c r="B52" s="46" t="n"/>
      <c r="C52" s="35" t="n"/>
      <c r="D52" s="35" t="n"/>
      <c r="E52" s="47" t="n"/>
      <c r="F52" s="38" t="n"/>
      <c r="G52" s="37" t="n"/>
      <c r="H52" s="48" t="n"/>
      <c r="I52" s="38" t="n"/>
      <c r="J52" s="39" t="n"/>
      <c r="K52" s="39" t="n"/>
      <c r="L52" s="39" t="n"/>
      <c r="M52" s="39" t="n"/>
      <c r="N52" s="47" t="n"/>
      <c r="O52" s="35" t="n"/>
    </row>
    <row r="53">
      <c r="A53" s="35" t="n"/>
      <c r="B53" s="46" t="n"/>
      <c r="C53" s="35" t="n"/>
      <c r="D53" s="35" t="n"/>
      <c r="E53" s="47" t="n"/>
      <c r="F53" s="38" t="n"/>
      <c r="G53" s="37" t="n"/>
      <c r="H53" s="48" t="n"/>
      <c r="I53" s="38" t="n"/>
      <c r="J53" s="39" t="n"/>
      <c r="K53" s="39" t="n"/>
      <c r="L53" s="39" t="n"/>
      <c r="M53" s="39" t="n"/>
      <c r="N53" s="47" t="n"/>
      <c r="O53" s="35" t="n"/>
    </row>
    <row r="54">
      <c r="A54" s="35" t="n"/>
      <c r="B54" s="46" t="n"/>
      <c r="C54" s="35" t="n"/>
      <c r="D54" s="35" t="n"/>
      <c r="E54" s="47" t="n"/>
      <c r="F54" s="38" t="n"/>
      <c r="G54" s="37" t="n"/>
      <c r="H54" s="48" t="n"/>
      <c r="I54" s="38" t="n"/>
      <c r="J54" s="39" t="n"/>
      <c r="K54" s="39" t="n"/>
      <c r="L54" s="39" t="n"/>
      <c r="M54" s="39" t="n"/>
      <c r="N54" s="47" t="n"/>
      <c r="O54" s="35" t="n"/>
    </row>
    <row r="55">
      <c r="A55" s="35" t="n"/>
      <c r="B55" s="46" t="n"/>
      <c r="C55" s="35" t="n"/>
      <c r="D55" s="35" t="n"/>
      <c r="E55" s="47" t="n"/>
      <c r="F55" s="38" t="n"/>
      <c r="G55" s="37" t="n"/>
      <c r="H55" s="48" t="n"/>
      <c r="I55" s="38" t="n"/>
      <c r="J55" s="39" t="n"/>
      <c r="K55" s="39" t="n"/>
      <c r="L55" s="39" t="n"/>
      <c r="M55" s="39" t="n"/>
      <c r="N55" s="47" t="n"/>
      <c r="O55" s="35" t="n"/>
    </row>
    <row r="56">
      <c r="A56" s="35" t="n"/>
      <c r="B56" s="46" t="n"/>
      <c r="C56" s="35" t="n"/>
      <c r="D56" s="35" t="n"/>
      <c r="E56" s="47" t="n"/>
      <c r="F56" s="38" t="n"/>
      <c r="G56" s="37" t="n"/>
      <c r="H56" s="48" t="n"/>
      <c r="I56" s="38" t="n"/>
      <c r="J56" s="39" t="n"/>
      <c r="K56" s="39" t="n"/>
      <c r="L56" s="39" t="n"/>
      <c r="M56" s="39" t="n"/>
      <c r="N56" s="47" t="n"/>
      <c r="O56" s="35" t="n"/>
    </row>
    <row r="57">
      <c r="A57" s="35" t="n"/>
      <c r="B57" s="46" t="n"/>
      <c r="C57" s="35" t="n"/>
      <c r="D57" s="35" t="n"/>
      <c r="E57" s="47" t="n"/>
      <c r="F57" s="38" t="n"/>
      <c r="G57" s="37" t="n"/>
      <c r="H57" s="48" t="n"/>
      <c r="I57" s="38" t="n"/>
      <c r="J57" s="39" t="n"/>
      <c r="K57" s="39" t="n"/>
      <c r="L57" s="39" t="n"/>
      <c r="M57" s="39" t="n"/>
      <c r="N57" s="47" t="n"/>
      <c r="O57" s="35" t="n"/>
    </row>
    <row r="58">
      <c r="A58" s="35" t="n"/>
      <c r="B58" s="46" t="n"/>
      <c r="C58" s="35" t="n"/>
      <c r="D58" s="35" t="n"/>
      <c r="E58" s="47" t="n"/>
      <c r="F58" s="38" t="n"/>
      <c r="G58" s="37" t="n"/>
      <c r="H58" s="48" t="n"/>
      <c r="I58" s="38" t="n"/>
      <c r="J58" s="39" t="n"/>
      <c r="K58" s="39" t="n"/>
      <c r="L58" s="39" t="n"/>
      <c r="M58" s="39" t="n"/>
      <c r="N58" s="47" t="n"/>
      <c r="O58" s="35" t="n"/>
    </row>
    <row r="59">
      <c r="A59" s="35" t="n"/>
      <c r="B59" s="46" t="n"/>
      <c r="C59" s="35" t="n"/>
      <c r="D59" s="35" t="n"/>
      <c r="E59" s="47" t="n"/>
      <c r="F59" s="38" t="n"/>
      <c r="G59" s="37" t="n"/>
      <c r="H59" s="48" t="n"/>
      <c r="I59" s="38" t="n"/>
      <c r="J59" s="39" t="n"/>
      <c r="K59" s="39" t="n"/>
      <c r="L59" s="39" t="n"/>
      <c r="M59" s="39" t="n"/>
      <c r="N59" s="47" t="n"/>
      <c r="O59" s="35" t="n"/>
    </row>
    <row r="60">
      <c r="A60" s="35" t="n"/>
      <c r="B60" s="46" t="n"/>
      <c r="C60" s="35" t="n"/>
      <c r="D60" s="35" t="n"/>
      <c r="E60" s="47" t="n"/>
      <c r="F60" s="38" t="n"/>
      <c r="G60" s="37" t="n"/>
      <c r="H60" s="48" t="n"/>
      <c r="I60" s="38" t="n"/>
      <c r="J60" s="39" t="n"/>
      <c r="K60" s="39" t="n"/>
      <c r="L60" s="39" t="n"/>
      <c r="M60" s="39" t="n"/>
      <c r="N60" s="47" t="n"/>
      <c r="O60" s="35" t="n"/>
    </row>
    <row r="61">
      <c r="A61" s="35" t="n"/>
      <c r="B61" s="46" t="n"/>
      <c r="C61" s="35" t="n"/>
      <c r="D61" s="35" t="n"/>
      <c r="E61" s="47" t="n"/>
      <c r="F61" s="38" t="n"/>
      <c r="G61" s="37" t="n"/>
      <c r="H61" s="48" t="n"/>
      <c r="I61" s="38" t="n"/>
      <c r="J61" s="39" t="n"/>
      <c r="K61" s="39" t="n"/>
      <c r="L61" s="39" t="n"/>
      <c r="M61" s="39" t="n"/>
      <c r="N61" s="47" t="n"/>
      <c r="O61" s="35" t="n"/>
    </row>
    <row r="62">
      <c r="A62" s="35" t="n"/>
      <c r="B62" s="46" t="n"/>
      <c r="C62" s="35" t="n"/>
      <c r="D62" s="35" t="n"/>
      <c r="E62" s="47" t="n"/>
      <c r="F62" s="38" t="n"/>
      <c r="G62" s="37" t="n"/>
      <c r="H62" s="48" t="n"/>
      <c r="I62" s="38" t="n"/>
      <c r="J62" s="39" t="n"/>
      <c r="K62" s="39" t="n"/>
      <c r="L62" s="39" t="n"/>
      <c r="M62" s="39" t="n"/>
      <c r="N62" s="47" t="n"/>
      <c r="O62" s="35" t="n"/>
    </row>
    <row r="63">
      <c r="A63" s="35" t="n"/>
      <c r="B63" s="46" t="n"/>
      <c r="C63" s="35" t="n"/>
      <c r="D63" s="35" t="n"/>
      <c r="E63" s="47" t="n"/>
      <c r="F63" s="38" t="n"/>
      <c r="G63" s="37" t="n"/>
      <c r="H63" s="48" t="n"/>
      <c r="I63" s="38" t="n"/>
      <c r="J63" s="39" t="n"/>
      <c r="K63" s="39" t="n"/>
      <c r="L63" s="39" t="n"/>
      <c r="M63" s="39" t="n"/>
      <c r="N63" s="47" t="n"/>
      <c r="O63" s="35" t="n"/>
    </row>
    <row r="64">
      <c r="A64" s="35" t="n"/>
      <c r="B64" s="46" t="n"/>
      <c r="C64" s="35" t="n"/>
      <c r="D64" s="35" t="n"/>
      <c r="E64" s="47" t="n"/>
      <c r="F64" s="38" t="n"/>
      <c r="G64" s="37" t="n"/>
      <c r="H64" s="48" t="n"/>
      <c r="I64" s="38" t="n"/>
      <c r="J64" s="39" t="n"/>
      <c r="K64" s="39" t="n"/>
      <c r="L64" s="39" t="n"/>
      <c r="M64" s="39" t="n"/>
      <c r="N64" s="47" t="n"/>
      <c r="O64" s="35" t="n"/>
    </row>
    <row r="65">
      <c r="A65" s="35" t="n"/>
      <c r="B65" s="46" t="n"/>
      <c r="C65" s="35" t="n"/>
      <c r="D65" s="35" t="n"/>
      <c r="E65" s="47" t="n"/>
      <c r="F65" s="38" t="n"/>
      <c r="G65" s="37" t="n"/>
      <c r="H65" s="48" t="n"/>
      <c r="I65" s="38" t="n"/>
      <c r="J65" s="39" t="n"/>
      <c r="K65" s="39" t="n"/>
      <c r="L65" s="39" t="n"/>
      <c r="M65" s="39" t="n"/>
      <c r="N65" s="47" t="n"/>
      <c r="O65" s="35" t="n"/>
    </row>
    <row r="66">
      <c r="A66" s="35" t="n"/>
      <c r="B66" s="46" t="n"/>
      <c r="C66" s="35" t="n"/>
      <c r="D66" s="35" t="n"/>
      <c r="E66" s="47" t="n"/>
      <c r="F66" s="38" t="n"/>
      <c r="G66" s="37" t="n"/>
      <c r="H66" s="48" t="n"/>
      <c r="I66" s="38" t="n"/>
      <c r="J66" s="39" t="n"/>
      <c r="K66" s="39" t="n"/>
      <c r="L66" s="39" t="n"/>
      <c r="M66" s="39" t="n"/>
      <c r="N66" s="47" t="n"/>
      <c r="O66" s="35" t="n"/>
    </row>
    <row r="67">
      <c r="A67" s="35" t="n"/>
      <c r="B67" s="46" t="n"/>
      <c r="C67" s="35" t="n"/>
      <c r="D67" s="35" t="n"/>
      <c r="E67" s="47" t="n"/>
      <c r="F67" s="38" t="n"/>
      <c r="G67" s="37" t="n"/>
      <c r="H67" s="48" t="n"/>
      <c r="I67" s="38" t="n"/>
      <c r="J67" s="39" t="n"/>
      <c r="K67" s="39" t="n"/>
      <c r="L67" s="39" t="n"/>
      <c r="M67" s="39" t="n"/>
      <c r="N67" s="47" t="n"/>
      <c r="O67" s="35" t="n"/>
    </row>
    <row r="68">
      <c r="A68" s="35" t="n"/>
      <c r="B68" s="46" t="n"/>
      <c r="C68" s="35" t="n"/>
      <c r="D68" s="35" t="n"/>
      <c r="E68" s="47" t="n"/>
      <c r="F68" s="38" t="n"/>
      <c r="G68" s="37" t="n"/>
      <c r="H68" s="48" t="n"/>
      <c r="I68" s="38" t="n"/>
      <c r="J68" s="39" t="n"/>
      <c r="K68" s="39" t="n"/>
      <c r="L68" s="39" t="n"/>
      <c r="M68" s="39" t="n"/>
      <c r="N68" s="47" t="n"/>
      <c r="O68" s="35" t="n"/>
    </row>
    <row r="69">
      <c r="A69" s="35" t="n"/>
      <c r="B69" s="46" t="n"/>
      <c r="C69" s="35" t="n"/>
      <c r="D69" s="35" t="n"/>
      <c r="E69" s="47" t="n"/>
      <c r="F69" s="38" t="n"/>
      <c r="G69" s="37" t="n"/>
      <c r="H69" s="48" t="n"/>
      <c r="I69" s="38" t="n"/>
      <c r="J69" s="39" t="n"/>
      <c r="K69" s="39" t="n"/>
      <c r="L69" s="39" t="n"/>
      <c r="M69" s="39" t="n"/>
      <c r="N69" s="47" t="n"/>
      <c r="O69" s="35" t="n"/>
    </row>
    <row r="70">
      <c r="A70" s="35" t="n"/>
      <c r="B70" s="46" t="n"/>
      <c r="C70" s="35" t="n"/>
      <c r="D70" s="35" t="n"/>
      <c r="E70" s="47" t="n"/>
      <c r="F70" s="38" t="n"/>
      <c r="G70" s="37" t="n"/>
      <c r="H70" s="48" t="n"/>
      <c r="I70" s="38" t="n"/>
      <c r="J70" s="39" t="n"/>
      <c r="K70" s="39" t="n"/>
      <c r="L70" s="39" t="n"/>
      <c r="M70" s="39" t="n"/>
      <c r="N70" s="47" t="n"/>
      <c r="O70" s="35" t="n"/>
    </row>
    <row r="71">
      <c r="A71" s="35" t="n"/>
      <c r="B71" s="46" t="n"/>
      <c r="C71" s="35" t="n"/>
      <c r="D71" s="35" t="n"/>
      <c r="E71" s="47" t="n"/>
      <c r="F71" s="38" t="n"/>
      <c r="G71" s="37" t="n"/>
      <c r="H71" s="48" t="n"/>
      <c r="I71" s="38" t="n"/>
      <c r="J71" s="39" t="n"/>
      <c r="K71" s="39" t="n"/>
      <c r="L71" s="39" t="n"/>
      <c r="M71" s="39" t="n"/>
      <c r="N71" s="47" t="n"/>
      <c r="O71" s="35" t="n"/>
    </row>
    <row r="72">
      <c r="A72" s="35" t="n"/>
      <c r="B72" s="46" t="n"/>
      <c r="C72" s="35" t="n"/>
      <c r="D72" s="35" t="n"/>
      <c r="E72" s="47" t="n"/>
      <c r="F72" s="38" t="n"/>
      <c r="G72" s="37" t="n"/>
      <c r="H72" s="48" t="n"/>
      <c r="I72" s="38" t="n"/>
      <c r="J72" s="39" t="n"/>
      <c r="K72" s="39" t="n"/>
      <c r="L72" s="39" t="n"/>
      <c r="M72" s="39" t="n"/>
      <c r="N72" s="47" t="n"/>
      <c r="O72" s="35" t="n"/>
    </row>
    <row r="73">
      <c r="A73" s="35" t="n"/>
      <c r="B73" s="46" t="n"/>
      <c r="C73" s="35" t="n"/>
      <c r="D73" s="35" t="n"/>
      <c r="E73" s="47" t="n"/>
      <c r="F73" s="38" t="n"/>
      <c r="G73" s="37" t="n"/>
      <c r="H73" s="48" t="n"/>
      <c r="I73" s="38" t="n"/>
      <c r="J73" s="39" t="n"/>
      <c r="K73" s="39" t="n"/>
      <c r="L73" s="39" t="n"/>
      <c r="M73" s="39" t="n"/>
      <c r="N73" s="47" t="n"/>
      <c r="O73" s="35" t="n"/>
    </row>
    <row r="74">
      <c r="A74" s="35" t="n"/>
      <c r="B74" s="46" t="n"/>
      <c r="C74" s="35" t="n"/>
      <c r="D74" s="35" t="n"/>
      <c r="E74" s="47" t="n"/>
      <c r="F74" s="38" t="n"/>
      <c r="G74" s="37" t="n"/>
      <c r="H74" s="48" t="n"/>
      <c r="I74" s="38" t="n"/>
      <c r="J74" s="39" t="n"/>
      <c r="K74" s="39" t="n"/>
      <c r="L74" s="39" t="n"/>
      <c r="M74" s="39" t="n"/>
      <c r="N74" s="47" t="n"/>
      <c r="O74" s="35" t="n"/>
    </row>
    <row r="75">
      <c r="A75" s="35" t="n"/>
      <c r="B75" s="46" t="n"/>
      <c r="C75" s="35" t="n"/>
      <c r="D75" s="35" t="n"/>
      <c r="E75" s="47" t="n"/>
      <c r="F75" s="38" t="n"/>
      <c r="G75" s="37" t="n"/>
      <c r="H75" s="48" t="n"/>
      <c r="I75" s="38" t="n"/>
      <c r="J75" s="39" t="n"/>
      <c r="K75" s="39" t="n"/>
      <c r="L75" s="39" t="n"/>
      <c r="M75" s="39" t="n"/>
      <c r="N75" s="47" t="n"/>
      <c r="O75" s="35" t="n"/>
    </row>
    <row r="76">
      <c r="A76" s="35" t="n"/>
      <c r="B76" s="46" t="n"/>
      <c r="C76" s="35" t="n"/>
      <c r="D76" s="35" t="n"/>
      <c r="E76" s="47" t="n"/>
      <c r="F76" s="38" t="n"/>
      <c r="G76" s="37" t="n"/>
      <c r="H76" s="48" t="n"/>
      <c r="I76" s="38" t="n"/>
      <c r="J76" s="39" t="n"/>
      <c r="K76" s="39" t="n"/>
      <c r="L76" s="39" t="n"/>
      <c r="M76" s="39" t="n"/>
      <c r="N76" s="47" t="n"/>
      <c r="O76" s="35" t="n"/>
    </row>
    <row r="77">
      <c r="A77" s="35" t="n"/>
      <c r="B77" s="46" t="n"/>
      <c r="C77" s="35" t="n"/>
      <c r="D77" s="35" t="n"/>
      <c r="E77" s="47" t="n"/>
      <c r="F77" s="38" t="n"/>
      <c r="G77" s="37" t="n"/>
      <c r="H77" s="48" t="n"/>
      <c r="I77" s="38" t="n"/>
      <c r="J77" s="39" t="n"/>
      <c r="K77" s="39" t="n"/>
      <c r="L77" s="39" t="n"/>
      <c r="M77" s="39" t="n"/>
      <c r="N77" s="47" t="n"/>
      <c r="O77" s="35" t="n"/>
    </row>
    <row r="78">
      <c r="A78" s="35" t="n"/>
      <c r="B78" s="46" t="n"/>
      <c r="C78" s="35" t="n"/>
      <c r="D78" s="35" t="n"/>
      <c r="E78" s="47" t="n"/>
      <c r="F78" s="38" t="n"/>
      <c r="G78" s="37" t="n"/>
      <c r="H78" s="48" t="n"/>
      <c r="I78" s="38" t="n"/>
      <c r="J78" s="39" t="n"/>
      <c r="K78" s="39" t="n"/>
      <c r="L78" s="39" t="n"/>
      <c r="M78" s="39" t="n"/>
      <c r="N78" s="47" t="n"/>
      <c r="O78" s="35" t="n"/>
    </row>
    <row r="79">
      <c r="A79" s="35" t="n"/>
      <c r="B79" s="46" t="n"/>
      <c r="C79" s="35" t="n"/>
      <c r="D79" s="35" t="n"/>
      <c r="E79" s="47" t="n"/>
      <c r="F79" s="38" t="n"/>
      <c r="G79" s="37" t="n"/>
      <c r="H79" s="48" t="n"/>
      <c r="I79" s="38" t="n"/>
      <c r="J79" s="39" t="n"/>
      <c r="K79" s="39" t="n"/>
      <c r="L79" s="39" t="n"/>
      <c r="M79" s="39" t="n"/>
      <c r="N79" s="47" t="n"/>
      <c r="O79" s="35" t="n"/>
    </row>
    <row r="80">
      <c r="A80" s="35" t="n"/>
      <c r="B80" s="46" t="n"/>
      <c r="C80" s="35" t="n"/>
      <c r="D80" s="35" t="n"/>
      <c r="E80" s="47" t="n"/>
      <c r="F80" s="38" t="n"/>
      <c r="G80" s="37" t="n"/>
      <c r="H80" s="48" t="n"/>
      <c r="I80" s="38" t="n"/>
      <c r="J80" s="39" t="n"/>
      <c r="K80" s="39" t="n"/>
      <c r="L80" s="39" t="n"/>
      <c r="M80" s="39" t="n"/>
      <c r="N80" s="47" t="n"/>
      <c r="O80" s="35" t="n"/>
    </row>
    <row r="81">
      <c r="A81" s="35" t="n"/>
      <c r="B81" s="46" t="n"/>
      <c r="C81" s="35" t="n"/>
      <c r="D81" s="35" t="n"/>
      <c r="E81" s="47" t="n"/>
      <c r="F81" s="38" t="n"/>
      <c r="G81" s="37" t="n"/>
      <c r="H81" s="48" t="n"/>
      <c r="I81" s="38" t="n"/>
      <c r="J81" s="39" t="n"/>
      <c r="K81" s="39" t="n"/>
      <c r="L81" s="39" t="n"/>
      <c r="M81" s="39" t="n"/>
      <c r="N81" s="47" t="n"/>
      <c r="O81" s="35" t="n"/>
    </row>
    <row r="82">
      <c r="A82" s="35" t="n"/>
      <c r="B82" s="46" t="n"/>
      <c r="C82" s="35" t="n"/>
      <c r="D82" s="35" t="n"/>
      <c r="E82" s="47" t="n"/>
      <c r="F82" s="38" t="n"/>
      <c r="G82" s="37" t="n"/>
      <c r="H82" s="48" t="n"/>
      <c r="I82" s="38" t="n"/>
      <c r="J82" s="39" t="n"/>
      <c r="K82" s="39" t="n"/>
      <c r="L82" s="39" t="n"/>
      <c r="M82" s="39" t="n"/>
      <c r="N82" s="47" t="n"/>
      <c r="O82" s="35" t="n"/>
    </row>
    <row r="83">
      <c r="A83" s="35" t="n"/>
      <c r="B83" s="46" t="n"/>
      <c r="C83" s="35" t="n"/>
      <c r="D83" s="35" t="n"/>
      <c r="E83" s="47" t="n"/>
      <c r="F83" s="38" t="n"/>
      <c r="G83" s="37" t="n"/>
      <c r="H83" s="48" t="n"/>
      <c r="I83" s="38" t="n"/>
      <c r="J83" s="39" t="n"/>
      <c r="K83" s="39" t="n"/>
      <c r="L83" s="39" t="n"/>
      <c r="M83" s="39" t="n"/>
      <c r="N83" s="47" t="n"/>
      <c r="O83" s="35" t="n"/>
    </row>
    <row r="84">
      <c r="A84" s="35" t="n"/>
      <c r="B84" s="46" t="n"/>
      <c r="C84" s="35" t="n"/>
      <c r="D84" s="35" t="n"/>
      <c r="E84" s="47" t="n"/>
      <c r="F84" s="38" t="n"/>
      <c r="G84" s="37" t="n"/>
      <c r="H84" s="48" t="n"/>
      <c r="I84" s="38" t="n"/>
      <c r="J84" s="39" t="n"/>
      <c r="K84" s="39" t="n"/>
      <c r="L84" s="39" t="n"/>
      <c r="M84" s="39" t="n"/>
      <c r="N84" s="47" t="n"/>
      <c r="O84" s="35" t="n"/>
    </row>
    <row r="85">
      <c r="A85" s="35" t="n"/>
      <c r="B85" s="46" t="n"/>
      <c r="C85" s="35" t="n"/>
      <c r="D85" s="35" t="n"/>
      <c r="E85" s="47" t="n"/>
      <c r="F85" s="38" t="n"/>
      <c r="G85" s="37" t="n"/>
      <c r="H85" s="48" t="n"/>
      <c r="I85" s="38" t="n"/>
      <c r="J85" s="39" t="n"/>
      <c r="K85" s="39" t="n"/>
      <c r="L85" s="39" t="n"/>
      <c r="M85" s="39" t="n"/>
      <c r="N85" s="47" t="n"/>
      <c r="O85" s="35" t="n"/>
    </row>
    <row r="86">
      <c r="A86" s="35" t="n"/>
      <c r="B86" s="46" t="n"/>
      <c r="C86" s="35" t="n"/>
      <c r="D86" s="35" t="n"/>
      <c r="E86" s="47" t="n"/>
      <c r="F86" s="38" t="n"/>
      <c r="G86" s="37" t="n"/>
      <c r="H86" s="48" t="n"/>
      <c r="I86" s="38" t="n"/>
      <c r="J86" s="39" t="n"/>
      <c r="K86" s="39" t="n"/>
      <c r="L86" s="39" t="n"/>
      <c r="M86" s="39" t="n"/>
      <c r="N86" s="47" t="n"/>
      <c r="O86" s="35" t="n"/>
    </row>
    <row r="87">
      <c r="A87" s="35" t="n"/>
      <c r="B87" s="46" t="n"/>
      <c r="C87" s="35" t="n"/>
      <c r="D87" s="35" t="n"/>
      <c r="E87" s="47" t="n"/>
      <c r="F87" s="38" t="n"/>
      <c r="G87" s="37" t="n"/>
      <c r="H87" s="48" t="n"/>
      <c r="I87" s="38" t="n"/>
      <c r="J87" s="39" t="n"/>
      <c r="K87" s="39" t="n"/>
      <c r="L87" s="39" t="n"/>
      <c r="M87" s="39" t="n"/>
      <c r="N87" s="47" t="n"/>
      <c r="O87" s="35" t="n"/>
    </row>
    <row r="88">
      <c r="A88" s="35" t="n"/>
      <c r="B88" s="46" t="n"/>
      <c r="C88" s="35" t="n"/>
      <c r="D88" s="35" t="n"/>
      <c r="E88" s="47" t="n"/>
      <c r="F88" s="38" t="n"/>
      <c r="G88" s="37" t="n"/>
      <c r="H88" s="48" t="n"/>
      <c r="I88" s="38" t="n"/>
      <c r="J88" s="39" t="n"/>
      <c r="K88" s="39" t="n"/>
      <c r="L88" s="39" t="n"/>
      <c r="M88" s="39" t="n"/>
      <c r="N88" s="47" t="n"/>
      <c r="O88" s="35" t="n"/>
    </row>
    <row r="89">
      <c r="A89" s="35" t="n"/>
      <c r="B89" s="46" t="n"/>
      <c r="C89" s="35" t="n"/>
      <c r="D89" s="35" t="n"/>
      <c r="E89" s="47" t="n"/>
      <c r="F89" s="38" t="n"/>
      <c r="G89" s="37" t="n"/>
      <c r="H89" s="48" t="n"/>
      <c r="I89" s="38" t="n"/>
      <c r="J89" s="39" t="n"/>
      <c r="K89" s="39" t="n"/>
      <c r="L89" s="39" t="n"/>
      <c r="M89" s="39" t="n"/>
      <c r="N89" s="47" t="n"/>
      <c r="O89" s="35" t="n"/>
    </row>
    <row r="90">
      <c r="A90" s="35" t="n"/>
      <c r="B90" s="46" t="n"/>
      <c r="C90" s="35" t="n"/>
      <c r="D90" s="35" t="n"/>
      <c r="E90" s="47" t="n"/>
      <c r="F90" s="38" t="n"/>
      <c r="G90" s="37" t="n"/>
      <c r="H90" s="48" t="n"/>
      <c r="I90" s="38" t="n"/>
      <c r="J90" s="39" t="n"/>
      <c r="K90" s="39" t="n"/>
      <c r="L90" s="39" t="n"/>
      <c r="M90" s="39" t="n"/>
      <c r="N90" s="47" t="n"/>
      <c r="O90" s="35" t="n"/>
    </row>
    <row r="91">
      <c r="A91" s="35" t="n"/>
      <c r="B91" s="46" t="n"/>
      <c r="C91" s="35" t="n"/>
      <c r="D91" s="35" t="n"/>
      <c r="E91" s="47" t="n"/>
      <c r="F91" s="38" t="n"/>
      <c r="G91" s="37" t="n"/>
      <c r="H91" s="48" t="n"/>
      <c r="I91" s="38" t="n"/>
      <c r="J91" s="39" t="n"/>
      <c r="K91" s="39" t="n"/>
      <c r="L91" s="39" t="n"/>
      <c r="M91" s="39" t="n"/>
      <c r="N91" s="47" t="n"/>
      <c r="O91" s="35" t="n"/>
    </row>
    <row r="92">
      <c r="A92" s="35" t="n"/>
      <c r="B92" s="46" t="n"/>
      <c r="C92" s="35" t="n"/>
      <c r="D92" s="35" t="n"/>
      <c r="E92" s="47" t="n"/>
      <c r="F92" s="38" t="n"/>
      <c r="G92" s="37" t="n"/>
      <c r="H92" s="48" t="n"/>
      <c r="I92" s="38" t="n"/>
      <c r="J92" s="39" t="n"/>
      <c r="K92" s="39" t="n"/>
      <c r="L92" s="39" t="n"/>
      <c r="M92" s="39" t="n"/>
      <c r="N92" s="47" t="n"/>
      <c r="O92" s="35" t="n"/>
    </row>
    <row r="93">
      <c r="A93" s="35" t="n"/>
      <c r="B93" s="46" t="n"/>
      <c r="C93" s="35" t="n"/>
      <c r="D93" s="35" t="n"/>
      <c r="E93" s="47" t="n"/>
      <c r="F93" s="38" t="n"/>
      <c r="G93" s="37" t="n"/>
      <c r="H93" s="48" t="n"/>
      <c r="I93" s="38" t="n"/>
      <c r="J93" s="39" t="n"/>
      <c r="K93" s="39" t="n"/>
      <c r="L93" s="39" t="n"/>
      <c r="M93" s="39" t="n"/>
      <c r="N93" s="47" t="n"/>
      <c r="O93" s="35" t="n"/>
    </row>
    <row r="94">
      <c r="A94" s="35" t="n"/>
      <c r="B94" s="46" t="n"/>
      <c r="C94" s="35" t="n"/>
      <c r="D94" s="35" t="n"/>
      <c r="E94" s="47" t="n"/>
      <c r="F94" s="38" t="n"/>
      <c r="G94" s="37" t="n"/>
      <c r="H94" s="48" t="n"/>
      <c r="I94" s="38" t="n"/>
      <c r="J94" s="39" t="n"/>
      <c r="K94" s="39" t="n"/>
      <c r="L94" s="39" t="n"/>
      <c r="M94" s="39" t="n"/>
      <c r="N94" s="47" t="n"/>
      <c r="O94" s="35" t="n"/>
    </row>
    <row r="95">
      <c r="A95" s="35" t="n"/>
      <c r="B95" s="46" t="n"/>
      <c r="C95" s="35" t="n"/>
      <c r="D95" s="35" t="n"/>
      <c r="E95" s="47" t="n"/>
      <c r="F95" s="38" t="n"/>
      <c r="G95" s="37" t="n"/>
      <c r="H95" s="48" t="n"/>
      <c r="I95" s="38" t="n"/>
      <c r="J95" s="39" t="n"/>
      <c r="K95" s="39" t="n"/>
      <c r="L95" s="39" t="n"/>
      <c r="M95" s="39" t="n"/>
      <c r="N95" s="47" t="n"/>
      <c r="O95" s="35" t="n"/>
    </row>
    <row r="96">
      <c r="A96" s="35" t="n"/>
      <c r="B96" s="46" t="n"/>
      <c r="C96" s="35" t="n"/>
      <c r="D96" s="35" t="n"/>
      <c r="E96" s="47" t="n"/>
      <c r="F96" s="38" t="n"/>
      <c r="G96" s="37" t="n"/>
      <c r="H96" s="48" t="n"/>
      <c r="I96" s="38" t="n"/>
      <c r="J96" s="39" t="n"/>
      <c r="K96" s="39" t="n"/>
      <c r="L96" s="39" t="n"/>
      <c r="M96" s="39" t="n"/>
      <c r="N96" s="47" t="n"/>
      <c r="O96" s="35" t="n"/>
    </row>
    <row r="97">
      <c r="A97" s="35" t="n"/>
      <c r="B97" s="46" t="n"/>
      <c r="C97" s="35" t="n"/>
      <c r="D97" s="35" t="n"/>
      <c r="E97" s="47" t="n"/>
      <c r="F97" s="38" t="n"/>
      <c r="G97" s="37" t="n"/>
      <c r="H97" s="48" t="n"/>
      <c r="I97" s="38" t="n"/>
      <c r="J97" s="39" t="n"/>
      <c r="K97" s="39" t="n"/>
      <c r="L97" s="39" t="n"/>
      <c r="M97" s="39" t="n"/>
      <c r="N97" s="47" t="n"/>
      <c r="O97" s="35" t="n"/>
    </row>
    <row r="98">
      <c r="A98" s="35" t="n"/>
      <c r="B98" s="46" t="n"/>
      <c r="C98" s="35" t="n"/>
      <c r="D98" s="35" t="n"/>
      <c r="E98" s="47" t="n"/>
      <c r="F98" s="38" t="n"/>
      <c r="G98" s="37" t="n"/>
      <c r="H98" s="48" t="n"/>
      <c r="I98" s="38" t="n"/>
      <c r="J98" s="39" t="n"/>
      <c r="K98" s="39" t="n"/>
      <c r="L98" s="39" t="n"/>
      <c r="M98" s="39" t="n"/>
      <c r="N98" s="47" t="n"/>
      <c r="O98" s="35" t="n"/>
    </row>
    <row r="99">
      <c r="A99" s="35" t="n"/>
      <c r="B99" s="46" t="n"/>
      <c r="C99" s="35" t="n"/>
      <c r="D99" s="35" t="n"/>
      <c r="E99" s="47" t="n"/>
      <c r="F99" s="38" t="n"/>
      <c r="G99" s="37" t="n"/>
      <c r="H99" s="48" t="n"/>
      <c r="I99" s="38" t="n"/>
      <c r="J99" s="39" t="n"/>
      <c r="K99" s="39" t="n"/>
      <c r="L99" s="39" t="n"/>
      <c r="M99" s="39" t="n"/>
      <c r="N99" s="47" t="n"/>
      <c r="O99" s="35" t="n"/>
    </row>
    <row r="100">
      <c r="A100" s="35" t="n"/>
      <c r="B100" s="46" t="n"/>
      <c r="C100" s="35" t="n"/>
      <c r="D100" s="35" t="n"/>
      <c r="E100" s="47" t="n"/>
      <c r="F100" s="38" t="n"/>
      <c r="G100" s="37" t="n"/>
      <c r="H100" s="48" t="n"/>
      <c r="I100" s="38" t="n"/>
      <c r="J100" s="39" t="n"/>
      <c r="K100" s="39" t="n"/>
      <c r="L100" s="39" t="n"/>
      <c r="M100" s="39" t="n"/>
      <c r="N100" s="47" t="n"/>
      <c r="O100" s="35" t="n"/>
    </row>
    <row r="101">
      <c r="A101" s="35" t="n"/>
      <c r="B101" s="46" t="n"/>
      <c r="C101" s="35" t="n"/>
      <c r="D101" s="35" t="n"/>
      <c r="E101" s="47" t="n"/>
      <c r="F101" s="38" t="n"/>
      <c r="G101" s="37" t="n"/>
      <c r="H101" s="48" t="n"/>
      <c r="I101" s="38" t="n"/>
      <c r="J101" s="39" t="n"/>
      <c r="K101" s="39" t="n"/>
      <c r="L101" s="39" t="n"/>
      <c r="M101" s="39" t="n"/>
      <c r="N101" s="47" t="n"/>
      <c r="O101" s="35" t="n"/>
    </row>
    <row r="102">
      <c r="A102" s="35" t="n"/>
      <c r="B102" s="46" t="n"/>
      <c r="C102" s="35" t="n"/>
      <c r="D102" s="35" t="n"/>
      <c r="E102" s="47" t="n"/>
      <c r="F102" s="38" t="n"/>
      <c r="G102" s="37" t="n"/>
      <c r="H102" s="48" t="n"/>
      <c r="I102" s="38" t="n"/>
      <c r="J102" s="39" t="n"/>
      <c r="K102" s="39" t="n"/>
      <c r="L102" s="39" t="n"/>
      <c r="M102" s="39" t="n"/>
      <c r="N102" s="47" t="n"/>
      <c r="O102" s="35" t="n"/>
    </row>
    <row r="103">
      <c r="A103" s="35" t="n"/>
      <c r="B103" s="46" t="n"/>
      <c r="C103" s="35" t="n"/>
      <c r="D103" s="35" t="n"/>
      <c r="E103" s="47" t="n"/>
      <c r="F103" s="38" t="n"/>
      <c r="G103" s="37" t="n"/>
      <c r="H103" s="48" t="n"/>
      <c r="I103" s="38" t="n"/>
      <c r="J103" s="39" t="n"/>
      <c r="K103" s="39" t="n"/>
      <c r="L103" s="39" t="n"/>
      <c r="M103" s="39" t="n"/>
      <c r="N103" s="47" t="n"/>
      <c r="O103" s="35" t="n"/>
    </row>
    <row r="104">
      <c r="A104" s="35" t="n"/>
      <c r="B104" s="46" t="n"/>
      <c r="C104" s="35" t="n"/>
      <c r="D104" s="35" t="n"/>
      <c r="E104" s="47" t="n"/>
      <c r="F104" s="38" t="n"/>
      <c r="G104" s="37" t="n"/>
      <c r="H104" s="48" t="n"/>
      <c r="I104" s="38" t="n"/>
      <c r="J104" s="39" t="n"/>
      <c r="K104" s="39" t="n"/>
      <c r="L104" s="39" t="n"/>
      <c r="M104" s="39" t="n"/>
      <c r="N104" s="47" t="n"/>
      <c r="O104" s="35" t="n"/>
    </row>
    <row r="105">
      <c r="A105" s="35" t="n"/>
      <c r="B105" s="46" t="n"/>
      <c r="C105" s="35" t="n"/>
      <c r="D105" s="35" t="n"/>
      <c r="E105" s="47" t="n"/>
      <c r="F105" s="38" t="n"/>
      <c r="G105" s="37" t="n"/>
      <c r="H105" s="48" t="n"/>
      <c r="I105" s="38" t="n"/>
      <c r="J105" s="39" t="n"/>
      <c r="K105" s="39" t="n"/>
      <c r="L105" s="39" t="n"/>
      <c r="M105" s="39" t="n"/>
      <c r="N105" s="47" t="n"/>
      <c r="O105" s="35" t="n"/>
    </row>
    <row r="106">
      <c r="A106" s="35" t="n"/>
      <c r="B106" s="46" t="n"/>
      <c r="C106" s="35" t="n"/>
      <c r="D106" s="35" t="n"/>
      <c r="E106" s="47" t="n"/>
      <c r="F106" s="38" t="n"/>
      <c r="G106" s="37" t="n"/>
      <c r="H106" s="48" t="n"/>
      <c r="I106" s="38" t="n"/>
      <c r="J106" s="39" t="n"/>
      <c r="K106" s="39" t="n"/>
      <c r="L106" s="39" t="n"/>
      <c r="M106" s="39" t="n"/>
      <c r="N106" s="47" t="n"/>
      <c r="O106" s="35" t="n"/>
    </row>
    <row r="107">
      <c r="A107" s="35" t="n"/>
      <c r="B107" s="46" t="n"/>
      <c r="C107" s="35" t="n"/>
      <c r="D107" s="35" t="n"/>
      <c r="E107" s="47" t="n"/>
      <c r="F107" s="38" t="n"/>
      <c r="G107" s="37" t="n"/>
      <c r="H107" s="48" t="n"/>
      <c r="I107" s="38" t="n"/>
      <c r="J107" s="39" t="n"/>
      <c r="K107" s="39" t="n"/>
      <c r="L107" s="39" t="n"/>
      <c r="M107" s="39" t="n"/>
      <c r="N107" s="47" t="n"/>
      <c r="O107" s="35" t="n"/>
    </row>
    <row r="108">
      <c r="A108" s="35" t="n"/>
      <c r="B108" s="46" t="n"/>
      <c r="C108" s="35" t="n"/>
      <c r="D108" s="35" t="n"/>
      <c r="E108" s="47" t="n"/>
      <c r="F108" s="38" t="n"/>
      <c r="G108" s="37" t="n"/>
      <c r="H108" s="48" t="n"/>
      <c r="I108" s="38" t="n"/>
      <c r="J108" s="39" t="n"/>
      <c r="K108" s="39" t="n"/>
      <c r="L108" s="39" t="n"/>
      <c r="M108" s="39" t="n"/>
      <c r="N108" s="47" t="n"/>
      <c r="O108" s="35" t="n"/>
    </row>
    <row r="109">
      <c r="A109" s="35" t="n"/>
      <c r="B109" s="46" t="n"/>
      <c r="C109" s="35" t="n"/>
      <c r="D109" s="35" t="n"/>
      <c r="E109" s="47" t="n"/>
      <c r="F109" s="38" t="n"/>
      <c r="G109" s="37" t="n"/>
      <c r="H109" s="48" t="n"/>
      <c r="I109" s="38" t="n"/>
      <c r="J109" s="39" t="n"/>
      <c r="K109" s="39" t="n"/>
      <c r="L109" s="39" t="n"/>
      <c r="M109" s="39" t="n"/>
      <c r="N109" s="47" t="n"/>
      <c r="O109" s="35" t="n"/>
    </row>
    <row r="110">
      <c r="A110" s="35" t="n"/>
      <c r="B110" s="46" t="n"/>
      <c r="C110" s="35" t="n"/>
      <c r="D110" s="35" t="n"/>
      <c r="E110" s="47" t="n"/>
      <c r="F110" s="38" t="n"/>
      <c r="G110" s="37" t="n"/>
      <c r="H110" s="48" t="n"/>
      <c r="I110" s="38" t="n"/>
      <c r="J110" s="39" t="n"/>
      <c r="K110" s="39" t="n"/>
      <c r="L110" s="39" t="n"/>
      <c r="M110" s="39" t="n"/>
      <c r="N110" s="47" t="n"/>
      <c r="O110" s="35" t="n"/>
    </row>
    <row r="111">
      <c r="A111" s="35" t="n"/>
      <c r="B111" s="46" t="n"/>
      <c r="C111" s="35" t="n"/>
      <c r="D111" s="35" t="n"/>
      <c r="E111" s="47" t="n"/>
      <c r="F111" s="38" t="n"/>
      <c r="G111" s="37" t="n"/>
      <c r="H111" s="48" t="n"/>
      <c r="I111" s="38" t="n"/>
      <c r="J111" s="39" t="n"/>
      <c r="K111" s="39" t="n"/>
      <c r="L111" s="39" t="n"/>
      <c r="M111" s="39" t="n"/>
      <c r="N111" s="47" t="n"/>
      <c r="O111" s="35" t="n"/>
    </row>
    <row r="112">
      <c r="A112" s="35" t="n"/>
      <c r="B112" s="46" t="n"/>
      <c r="C112" s="35" t="n"/>
      <c r="D112" s="35" t="n"/>
      <c r="E112" s="47" t="n"/>
      <c r="F112" s="38" t="n"/>
      <c r="G112" s="37" t="n"/>
      <c r="H112" s="48" t="n"/>
      <c r="I112" s="38" t="n"/>
      <c r="J112" s="39" t="n"/>
      <c r="K112" s="39" t="n"/>
      <c r="L112" s="39" t="n"/>
      <c r="M112" s="39" t="n"/>
      <c r="N112" s="47" t="n"/>
      <c r="O112" s="35" t="n"/>
    </row>
    <row r="113">
      <c r="A113" s="35" t="n"/>
      <c r="B113" s="46" t="n"/>
      <c r="C113" s="35" t="n"/>
      <c r="D113" s="35" t="n"/>
      <c r="E113" s="47" t="n"/>
      <c r="F113" s="38" t="n"/>
      <c r="G113" s="37" t="n"/>
      <c r="H113" s="48" t="n"/>
      <c r="I113" s="38" t="n"/>
      <c r="J113" s="39" t="n"/>
      <c r="K113" s="39" t="n"/>
      <c r="L113" s="39" t="n"/>
      <c r="M113" s="39" t="n"/>
      <c r="N113" s="47" t="n"/>
      <c r="O113" s="35" t="n"/>
    </row>
    <row r="114">
      <c r="A114" s="35" t="n"/>
      <c r="B114" s="46" t="n"/>
      <c r="C114" s="35" t="n"/>
      <c r="D114" s="35" t="n"/>
      <c r="E114" s="47" t="n"/>
      <c r="F114" s="38" t="n"/>
      <c r="G114" s="37" t="n"/>
      <c r="H114" s="48" t="n"/>
      <c r="I114" s="38" t="n"/>
      <c r="J114" s="39" t="n"/>
      <c r="K114" s="39" t="n"/>
      <c r="L114" s="39" t="n"/>
      <c r="M114" s="39" t="n"/>
      <c r="N114" s="47" t="n"/>
      <c r="O114" s="35" t="n"/>
    </row>
    <row r="115">
      <c r="A115" s="35" t="n"/>
      <c r="B115" s="46" t="n"/>
      <c r="C115" s="35" t="n"/>
      <c r="D115" s="35" t="n"/>
      <c r="E115" s="47" t="n"/>
      <c r="F115" s="38" t="n"/>
      <c r="G115" s="37" t="n"/>
      <c r="H115" s="48" t="n"/>
      <c r="I115" s="38" t="n"/>
      <c r="J115" s="39" t="n"/>
      <c r="K115" s="39" t="n"/>
      <c r="L115" s="39" t="n"/>
      <c r="M115" s="39" t="n"/>
      <c r="N115" s="47" t="n"/>
      <c r="O115" s="35" t="n"/>
    </row>
    <row r="116">
      <c r="A116" s="35" t="n"/>
      <c r="B116" s="46" t="n"/>
      <c r="C116" s="35" t="n"/>
      <c r="D116" s="35" t="n"/>
      <c r="E116" s="47" t="n"/>
      <c r="F116" s="38" t="n"/>
      <c r="G116" s="37" t="n"/>
      <c r="H116" s="48" t="n"/>
      <c r="I116" s="38" t="n"/>
      <c r="J116" s="39" t="n"/>
      <c r="K116" s="39" t="n"/>
      <c r="L116" s="39" t="n"/>
      <c r="M116" s="39" t="n"/>
      <c r="N116" s="47" t="n"/>
      <c r="O116" s="35" t="n"/>
    </row>
    <row r="117">
      <c r="A117" s="35" t="n"/>
      <c r="B117" s="46" t="n"/>
      <c r="C117" s="35" t="n"/>
      <c r="D117" s="35" t="n"/>
      <c r="E117" s="47" t="n"/>
      <c r="F117" s="38" t="n"/>
      <c r="G117" s="37" t="n"/>
      <c r="H117" s="48" t="n"/>
      <c r="I117" s="38" t="n"/>
      <c r="J117" s="39" t="n"/>
      <c r="K117" s="39" t="n"/>
      <c r="L117" s="39" t="n"/>
      <c r="M117" s="39" t="n"/>
      <c r="N117" s="47" t="n"/>
      <c r="O117" s="35" t="n"/>
    </row>
    <row r="118">
      <c r="A118" s="35" t="n"/>
      <c r="B118" s="46" t="n"/>
      <c r="C118" s="35" t="n"/>
      <c r="D118" s="35" t="n"/>
      <c r="E118" s="47" t="n"/>
      <c r="F118" s="38" t="n"/>
      <c r="G118" s="37" t="n"/>
      <c r="H118" s="48" t="n"/>
      <c r="I118" s="38" t="n"/>
      <c r="J118" s="39" t="n"/>
      <c r="K118" s="39" t="n"/>
      <c r="L118" s="39" t="n"/>
      <c r="M118" s="39" t="n"/>
      <c r="N118" s="47" t="n"/>
      <c r="O118" s="35" t="n"/>
    </row>
    <row r="119">
      <c r="A119" s="35" t="n"/>
      <c r="B119" s="46" t="n"/>
      <c r="C119" s="35" t="n"/>
      <c r="D119" s="35" t="n"/>
      <c r="E119" s="47" t="n"/>
      <c r="F119" s="38" t="n"/>
      <c r="G119" s="37" t="n"/>
      <c r="H119" s="48" t="n"/>
      <c r="I119" s="38" t="n"/>
      <c r="J119" s="39" t="n"/>
      <c r="K119" s="39" t="n"/>
      <c r="L119" s="39" t="n"/>
      <c r="M119" s="39" t="n"/>
      <c r="N119" s="47" t="n"/>
      <c r="O119" s="35" t="n"/>
    </row>
    <row r="120">
      <c r="A120" s="35" t="n"/>
      <c r="B120" s="46" t="n"/>
      <c r="C120" s="35" t="n"/>
      <c r="D120" s="35" t="n"/>
      <c r="E120" s="47" t="n"/>
      <c r="F120" s="38" t="n"/>
      <c r="G120" s="37" t="n"/>
      <c r="H120" s="48" t="n"/>
      <c r="I120" s="38" t="n"/>
      <c r="J120" s="39" t="n"/>
      <c r="K120" s="39" t="n"/>
      <c r="L120" s="39" t="n"/>
      <c r="M120" s="39" t="n"/>
      <c r="N120" s="47" t="n"/>
      <c r="O120" s="35" t="n"/>
    </row>
    <row r="121">
      <c r="A121" s="35" t="n"/>
      <c r="B121" s="46" t="n"/>
      <c r="C121" s="35" t="n"/>
      <c r="D121" s="35" t="n"/>
      <c r="E121" s="47" t="n"/>
      <c r="F121" s="38" t="n"/>
      <c r="G121" s="37" t="n"/>
      <c r="H121" s="48" t="n"/>
      <c r="I121" s="38" t="n"/>
      <c r="J121" s="39" t="n"/>
      <c r="K121" s="39" t="n"/>
      <c r="L121" s="39" t="n"/>
      <c r="M121" s="39" t="n"/>
      <c r="N121" s="47" t="n"/>
      <c r="O121" s="35" t="n"/>
    </row>
    <row r="122">
      <c r="A122" s="35" t="n"/>
      <c r="B122" s="46" t="n"/>
      <c r="C122" s="35" t="n"/>
      <c r="D122" s="35" t="n"/>
      <c r="E122" s="47" t="n"/>
      <c r="F122" s="38" t="n"/>
      <c r="G122" s="37" t="n"/>
      <c r="H122" s="48" t="n"/>
      <c r="I122" s="38" t="n"/>
      <c r="J122" s="39" t="n"/>
      <c r="K122" s="39" t="n"/>
      <c r="L122" s="39" t="n"/>
      <c r="M122" s="39" t="n"/>
      <c r="N122" s="47" t="n"/>
      <c r="O122" s="35" t="n"/>
    </row>
    <row r="123">
      <c r="A123" s="35" t="n"/>
      <c r="B123" s="46" t="n"/>
      <c r="C123" s="35" t="n"/>
      <c r="D123" s="35" t="n"/>
      <c r="E123" s="47" t="n"/>
      <c r="F123" s="38" t="n"/>
      <c r="G123" s="37" t="n"/>
      <c r="H123" s="48" t="n"/>
      <c r="I123" s="38" t="n"/>
      <c r="J123" s="39" t="n"/>
      <c r="K123" s="39" t="n"/>
      <c r="L123" s="39" t="n"/>
      <c r="M123" s="39" t="n"/>
      <c r="N123" s="47" t="n"/>
      <c r="O123" s="35" t="n"/>
    </row>
    <row r="124">
      <c r="A124" s="35" t="n"/>
      <c r="B124" s="46" t="n"/>
      <c r="C124" s="35" t="n"/>
      <c r="D124" s="35" t="n"/>
      <c r="E124" s="47" t="n"/>
      <c r="F124" s="38" t="n"/>
      <c r="G124" s="37" t="n"/>
      <c r="H124" s="48" t="n"/>
      <c r="I124" s="38" t="n"/>
      <c r="J124" s="39" t="n"/>
      <c r="K124" s="39" t="n"/>
      <c r="L124" s="39" t="n"/>
      <c r="M124" s="39" t="n"/>
      <c r="N124" s="47" t="n"/>
      <c r="O124" s="35" t="n"/>
    </row>
    <row r="125">
      <c r="A125" s="35" t="n"/>
      <c r="B125" s="46" t="n"/>
      <c r="C125" s="35" t="n"/>
      <c r="D125" s="35" t="n"/>
      <c r="E125" s="47" t="n"/>
      <c r="F125" s="38" t="n"/>
      <c r="G125" s="37" t="n"/>
      <c r="H125" s="48" t="n"/>
      <c r="I125" s="38" t="n"/>
      <c r="J125" s="39" t="n"/>
      <c r="K125" s="39" t="n"/>
      <c r="L125" s="39" t="n"/>
      <c r="M125" s="39" t="n"/>
      <c r="N125" s="47" t="n"/>
      <c r="O125" s="35" t="n"/>
    </row>
    <row r="126">
      <c r="A126" s="35" t="n"/>
      <c r="B126" s="46" t="n"/>
      <c r="C126" s="35" t="n"/>
      <c r="D126" s="35" t="n"/>
      <c r="E126" s="47" t="n"/>
      <c r="F126" s="38" t="n"/>
      <c r="G126" s="37" t="n"/>
      <c r="H126" s="48" t="n"/>
      <c r="I126" s="38" t="n"/>
      <c r="J126" s="39" t="n"/>
      <c r="K126" s="39" t="n"/>
      <c r="L126" s="39" t="n"/>
      <c r="M126" s="39" t="n"/>
      <c r="N126" s="47" t="n"/>
      <c r="O126" s="35" t="n"/>
    </row>
    <row r="127">
      <c r="A127" s="35" t="n"/>
      <c r="B127" s="46" t="n"/>
      <c r="C127" s="35" t="n"/>
      <c r="D127" s="35" t="n"/>
      <c r="E127" s="47" t="n"/>
      <c r="F127" s="38" t="n"/>
      <c r="G127" s="37" t="n"/>
      <c r="H127" s="48" t="n"/>
      <c r="I127" s="38" t="n"/>
      <c r="J127" s="39" t="n"/>
      <c r="K127" s="39" t="n"/>
      <c r="L127" s="39" t="n"/>
      <c r="M127" s="39" t="n"/>
      <c r="N127" s="47" t="n"/>
      <c r="O127" s="35" t="n"/>
    </row>
    <row r="128">
      <c r="A128" s="35" t="n"/>
      <c r="B128" s="46" t="n"/>
      <c r="C128" s="35" t="n"/>
      <c r="D128" s="35" t="n"/>
      <c r="E128" s="47" t="n"/>
      <c r="F128" s="38" t="n"/>
      <c r="G128" s="37" t="n"/>
      <c r="H128" s="48" t="n"/>
      <c r="I128" s="38" t="n"/>
      <c r="J128" s="39" t="n"/>
      <c r="K128" s="39" t="n"/>
      <c r="L128" s="39" t="n"/>
      <c r="M128" s="39" t="n"/>
      <c r="N128" s="47" t="n"/>
      <c r="O128" s="35" t="n"/>
    </row>
    <row r="129">
      <c r="A129" s="35" t="n"/>
      <c r="B129" s="46" t="n"/>
      <c r="C129" s="35" t="n"/>
      <c r="D129" s="35" t="n"/>
      <c r="E129" s="47" t="n"/>
      <c r="F129" s="38" t="n"/>
      <c r="G129" s="37" t="n"/>
      <c r="H129" s="48" t="n"/>
      <c r="I129" s="38" t="n"/>
      <c r="J129" s="39" t="n"/>
      <c r="K129" s="39" t="n"/>
      <c r="L129" s="39" t="n"/>
      <c r="M129" s="39" t="n"/>
      <c r="N129" s="47" t="n"/>
      <c r="O129" s="35" t="n"/>
    </row>
    <row r="130">
      <c r="A130" s="35" t="n"/>
      <c r="B130" s="46" t="n"/>
      <c r="C130" s="35" t="n"/>
      <c r="D130" s="35" t="n"/>
      <c r="E130" s="47" t="n"/>
      <c r="F130" s="38" t="n"/>
      <c r="G130" s="37" t="n"/>
      <c r="H130" s="48" t="n"/>
      <c r="I130" s="38" t="n"/>
      <c r="J130" s="39" t="n"/>
      <c r="K130" s="39" t="n"/>
      <c r="L130" s="39" t="n"/>
      <c r="M130" s="39" t="n"/>
      <c r="N130" s="47" t="n"/>
      <c r="O130" s="35" t="n"/>
    </row>
    <row r="131">
      <c r="A131" s="35" t="n"/>
      <c r="B131" s="46" t="n"/>
      <c r="C131" s="35" t="n"/>
      <c r="D131" s="35" t="n"/>
      <c r="E131" s="47" t="n"/>
      <c r="F131" s="38" t="n"/>
      <c r="G131" s="37" t="n"/>
      <c r="H131" s="48" t="n"/>
      <c r="I131" s="38" t="n"/>
      <c r="J131" s="39" t="n"/>
      <c r="K131" s="39" t="n"/>
      <c r="L131" s="39" t="n"/>
      <c r="M131" s="39" t="n"/>
      <c r="N131" s="47" t="n"/>
      <c r="O131" s="35" t="n"/>
    </row>
    <row r="132">
      <c r="A132" s="35" t="n"/>
      <c r="B132" s="46" t="n"/>
      <c r="C132" s="35" t="n"/>
      <c r="D132" s="35" t="n"/>
      <c r="E132" s="47" t="n"/>
      <c r="F132" s="38" t="n"/>
      <c r="G132" s="37" t="n"/>
      <c r="H132" s="48" t="n"/>
      <c r="I132" s="38" t="n"/>
      <c r="J132" s="39" t="n"/>
      <c r="K132" s="39" t="n"/>
      <c r="L132" s="39" t="n"/>
      <c r="M132" s="39" t="n"/>
      <c r="N132" s="47" t="n"/>
      <c r="O132" s="35" t="n"/>
    </row>
    <row r="133">
      <c r="A133" s="35" t="n"/>
      <c r="B133" s="46" t="n"/>
      <c r="C133" s="35" t="n"/>
      <c r="D133" s="35" t="n"/>
      <c r="E133" s="47" t="n"/>
      <c r="F133" s="38" t="n"/>
      <c r="G133" s="37" t="n"/>
      <c r="H133" s="48" t="n"/>
      <c r="I133" s="38" t="n"/>
      <c r="J133" s="39" t="n"/>
      <c r="K133" s="39" t="n"/>
      <c r="L133" s="39" t="n"/>
      <c r="M133" s="39" t="n"/>
      <c r="N133" s="47" t="n"/>
      <c r="O133" s="35" t="n"/>
    </row>
    <row r="134">
      <c r="A134" s="35" t="n"/>
      <c r="B134" s="46" t="n"/>
      <c r="C134" s="35" t="n"/>
      <c r="D134" s="35" t="n"/>
      <c r="E134" s="47" t="n"/>
      <c r="F134" s="38" t="n"/>
      <c r="G134" s="37" t="n"/>
      <c r="H134" s="48" t="n"/>
      <c r="I134" s="38" t="n"/>
      <c r="J134" s="39" t="n"/>
      <c r="K134" s="39" t="n"/>
      <c r="L134" s="39" t="n"/>
      <c r="M134" s="39" t="n"/>
      <c r="N134" s="47" t="n"/>
      <c r="O134" s="35" t="n"/>
    </row>
    <row r="135">
      <c r="A135" s="35" t="n"/>
      <c r="B135" s="46" t="n"/>
      <c r="C135" s="35" t="n"/>
      <c r="D135" s="35" t="n"/>
      <c r="E135" s="47" t="n"/>
      <c r="F135" s="38" t="n"/>
      <c r="G135" s="37" t="n"/>
      <c r="H135" s="48" t="n"/>
      <c r="I135" s="38" t="n"/>
      <c r="J135" s="39" t="n"/>
      <c r="K135" s="39" t="n"/>
      <c r="L135" s="39" t="n"/>
      <c r="M135" s="39" t="n"/>
      <c r="N135" s="47" t="n"/>
      <c r="O135" s="35" t="n"/>
    </row>
    <row r="136">
      <c r="A136" s="35" t="n"/>
      <c r="B136" s="46" t="n"/>
      <c r="C136" s="35" t="n"/>
      <c r="D136" s="35" t="n"/>
      <c r="E136" s="47" t="n"/>
      <c r="F136" s="38" t="n"/>
      <c r="G136" s="37" t="n"/>
      <c r="H136" s="48" t="n"/>
      <c r="I136" s="38" t="n"/>
      <c r="J136" s="39" t="n"/>
      <c r="K136" s="39" t="n"/>
      <c r="L136" s="39" t="n"/>
      <c r="M136" s="39" t="n"/>
      <c r="N136" s="47" t="n"/>
      <c r="O136" s="35" t="n"/>
    </row>
    <row r="137">
      <c r="A137" s="35" t="n"/>
      <c r="B137" s="46" t="n"/>
      <c r="C137" s="35" t="n"/>
      <c r="D137" s="35" t="n"/>
      <c r="E137" s="47" t="n"/>
      <c r="F137" s="38" t="n"/>
      <c r="G137" s="37" t="n"/>
      <c r="H137" s="48" t="n"/>
      <c r="I137" s="38" t="n"/>
      <c r="J137" s="39" t="n"/>
      <c r="K137" s="39" t="n"/>
      <c r="L137" s="39" t="n"/>
      <c r="M137" s="39" t="n"/>
      <c r="N137" s="47" t="n"/>
      <c r="O137" s="35" t="n"/>
    </row>
    <row r="138">
      <c r="A138" s="35" t="n"/>
      <c r="B138" s="46" t="n"/>
      <c r="C138" s="35" t="n"/>
      <c r="D138" s="35" t="n"/>
      <c r="E138" s="47" t="n"/>
      <c r="F138" s="38" t="n"/>
      <c r="G138" s="37" t="n"/>
      <c r="H138" s="48" t="n"/>
      <c r="I138" s="38" t="n"/>
      <c r="J138" s="39" t="n"/>
      <c r="K138" s="39" t="n"/>
      <c r="L138" s="39" t="n"/>
      <c r="M138" s="39" t="n"/>
      <c r="N138" s="47" t="n"/>
      <c r="O138" s="35" t="n"/>
    </row>
    <row r="139">
      <c r="A139" s="35" t="n"/>
      <c r="B139" s="46" t="n"/>
      <c r="C139" s="35" t="n"/>
      <c r="D139" s="35" t="n"/>
      <c r="E139" s="47" t="n"/>
      <c r="F139" s="38" t="n"/>
      <c r="G139" s="37" t="n"/>
      <c r="H139" s="48" t="n"/>
      <c r="I139" s="38" t="n"/>
      <c r="J139" s="39" t="n"/>
      <c r="K139" s="39" t="n"/>
      <c r="L139" s="39" t="n"/>
      <c r="M139" s="39" t="n"/>
      <c r="N139" s="47" t="n"/>
      <c r="O139" s="35" t="n"/>
    </row>
    <row r="140">
      <c r="A140" s="35" t="n"/>
      <c r="B140" s="46" t="n"/>
      <c r="C140" s="35" t="n"/>
      <c r="D140" s="35" t="n"/>
      <c r="E140" s="47" t="n"/>
      <c r="F140" s="38" t="n"/>
      <c r="G140" s="37" t="n"/>
      <c r="H140" s="48" t="n"/>
      <c r="I140" s="38" t="n"/>
      <c r="J140" s="39" t="n"/>
      <c r="K140" s="39" t="n"/>
      <c r="L140" s="39" t="n"/>
      <c r="M140" s="39" t="n"/>
      <c r="N140" s="47" t="n"/>
      <c r="O140" s="35" t="n"/>
    </row>
    <row r="141">
      <c r="A141" s="35" t="n"/>
      <c r="B141" s="46" t="n"/>
      <c r="C141" s="35" t="n"/>
      <c r="D141" s="35" t="n"/>
      <c r="E141" s="47" t="n"/>
      <c r="F141" s="38" t="n"/>
      <c r="G141" s="37" t="n"/>
      <c r="H141" s="48" t="n"/>
      <c r="I141" s="38" t="n"/>
      <c r="J141" s="39" t="n"/>
      <c r="K141" s="39" t="n"/>
      <c r="L141" s="39" t="n"/>
      <c r="M141" s="39" t="n"/>
      <c r="N141" s="47" t="n"/>
      <c r="O141" s="35" t="n"/>
    </row>
    <row r="142">
      <c r="A142" s="35" t="n"/>
      <c r="B142" s="46" t="n"/>
      <c r="C142" s="35" t="n"/>
      <c r="D142" s="35" t="n"/>
      <c r="E142" s="47" t="n"/>
      <c r="F142" s="38" t="n"/>
      <c r="G142" s="37" t="n"/>
      <c r="H142" s="48" t="n"/>
      <c r="I142" s="38" t="n"/>
      <c r="J142" s="39" t="n"/>
      <c r="K142" s="39" t="n"/>
      <c r="L142" s="39" t="n"/>
      <c r="M142" s="39" t="n"/>
      <c r="N142" s="47" t="n"/>
      <c r="O142" s="35" t="n"/>
    </row>
    <row r="143">
      <c r="A143" s="35" t="n"/>
      <c r="B143" s="46" t="n"/>
      <c r="C143" s="35" t="n"/>
      <c r="D143" s="35" t="n"/>
      <c r="E143" s="47" t="n"/>
      <c r="F143" s="38" t="n"/>
      <c r="G143" s="37" t="n"/>
      <c r="H143" s="48" t="n"/>
      <c r="I143" s="38" t="n"/>
      <c r="J143" s="39" t="n"/>
      <c r="K143" s="39" t="n"/>
      <c r="L143" s="39" t="n"/>
      <c r="M143" s="39" t="n"/>
      <c r="N143" s="47" t="n"/>
      <c r="O143" s="35" t="n"/>
    </row>
    <row r="144">
      <c r="A144" s="35" t="n"/>
      <c r="B144" s="46" t="n"/>
      <c r="C144" s="35" t="n"/>
      <c r="D144" s="35" t="n"/>
      <c r="E144" s="47" t="n"/>
      <c r="F144" s="38" t="n"/>
      <c r="G144" s="37" t="n"/>
      <c r="H144" s="48" t="n"/>
      <c r="I144" s="38" t="n"/>
      <c r="J144" s="39" t="n"/>
      <c r="K144" s="39" t="n"/>
      <c r="L144" s="39" t="n"/>
      <c r="M144" s="39" t="n"/>
      <c r="N144" s="47" t="n"/>
      <c r="O144" s="35" t="n"/>
    </row>
    <row r="145">
      <c r="A145" s="35" t="n"/>
      <c r="B145" s="46" t="n"/>
      <c r="C145" s="35" t="n"/>
      <c r="D145" s="35" t="n"/>
      <c r="E145" s="47" t="n"/>
      <c r="F145" s="38" t="n"/>
      <c r="G145" s="37" t="n"/>
      <c r="H145" s="48" t="n"/>
      <c r="I145" s="38" t="n"/>
      <c r="J145" s="39" t="n"/>
      <c r="K145" s="39" t="n"/>
      <c r="L145" s="39" t="n"/>
      <c r="M145" s="39" t="n"/>
      <c r="N145" s="47" t="n"/>
      <c r="O145" s="35" t="n"/>
    </row>
    <row r="146">
      <c r="A146" s="35" t="n"/>
      <c r="B146" s="46" t="n"/>
      <c r="C146" s="35" t="n"/>
      <c r="D146" s="35" t="n"/>
      <c r="E146" s="47" t="n"/>
      <c r="F146" s="38" t="n"/>
      <c r="G146" s="37" t="n"/>
      <c r="H146" s="48" t="n"/>
      <c r="I146" s="38" t="n"/>
      <c r="J146" s="39" t="n"/>
      <c r="K146" s="39" t="n"/>
      <c r="L146" s="39" t="n"/>
      <c r="M146" s="39" t="n"/>
      <c r="N146" s="47" t="n"/>
      <c r="O146" s="35" t="n"/>
    </row>
    <row r="147">
      <c r="A147" s="35" t="n"/>
      <c r="B147" s="46" t="n"/>
      <c r="C147" s="35" t="n"/>
      <c r="D147" s="35" t="n"/>
      <c r="E147" s="47" t="n"/>
      <c r="F147" s="38" t="n"/>
      <c r="G147" s="37" t="n"/>
      <c r="H147" s="48" t="n"/>
      <c r="I147" s="38" t="n"/>
      <c r="J147" s="39" t="n"/>
      <c r="K147" s="39" t="n"/>
      <c r="L147" s="39" t="n"/>
      <c r="M147" s="39" t="n"/>
      <c r="N147" s="47" t="n"/>
      <c r="O147" s="35" t="n"/>
    </row>
    <row r="148">
      <c r="A148" s="35" t="n"/>
      <c r="B148" s="46" t="n"/>
      <c r="C148" s="35" t="n"/>
      <c r="D148" s="35" t="n"/>
      <c r="E148" s="47" t="n"/>
      <c r="F148" s="38" t="n"/>
      <c r="G148" s="37" t="n"/>
      <c r="H148" s="48" t="n"/>
      <c r="I148" s="38" t="n"/>
      <c r="J148" s="39" t="n"/>
      <c r="K148" s="39" t="n"/>
      <c r="L148" s="39" t="n"/>
      <c r="M148" s="39" t="n"/>
      <c r="N148" s="47" t="n"/>
      <c r="O148" s="35" t="n"/>
    </row>
    <row r="149">
      <c r="A149" s="35" t="n"/>
      <c r="B149" s="46" t="n"/>
      <c r="C149" s="35" t="n"/>
      <c r="D149" s="35" t="n"/>
      <c r="E149" s="47" t="n"/>
      <c r="F149" s="38" t="n"/>
      <c r="G149" s="37" t="n"/>
      <c r="H149" s="48" t="n"/>
      <c r="I149" s="38" t="n"/>
      <c r="J149" s="39" t="n"/>
      <c r="K149" s="39" t="n"/>
      <c r="L149" s="39" t="n"/>
      <c r="M149" s="39" t="n"/>
      <c r="N149" s="47" t="n"/>
      <c r="O149" s="35" t="n"/>
    </row>
    <row r="150">
      <c r="A150" s="35" t="n"/>
      <c r="B150" s="46" t="n"/>
      <c r="C150" s="35" t="n"/>
      <c r="D150" s="35" t="n"/>
      <c r="E150" s="47" t="n"/>
      <c r="F150" s="38" t="n"/>
      <c r="G150" s="37" t="n"/>
      <c r="H150" s="48" t="n"/>
      <c r="I150" s="38" t="n"/>
      <c r="J150" s="39" t="n"/>
      <c r="K150" s="39" t="n"/>
      <c r="L150" s="39" t="n"/>
      <c r="M150" s="39" t="n"/>
      <c r="N150" s="47" t="n"/>
      <c r="O150" s="35" t="n"/>
    </row>
    <row r="151">
      <c r="A151" s="35" t="n"/>
      <c r="B151" s="46" t="n"/>
      <c r="C151" s="35" t="n"/>
      <c r="D151" s="35" t="n"/>
      <c r="E151" s="47" t="n"/>
      <c r="F151" s="38" t="n"/>
      <c r="G151" s="37" t="n"/>
      <c r="H151" s="48" t="n"/>
      <c r="I151" s="38" t="n"/>
      <c r="J151" s="39" t="n"/>
      <c r="K151" s="39" t="n"/>
      <c r="L151" s="39" t="n"/>
      <c r="M151" s="39" t="n"/>
      <c r="N151" s="47" t="n"/>
      <c r="O151" s="35" t="n"/>
    </row>
    <row r="152">
      <c r="A152" s="35" t="n"/>
      <c r="B152" s="46" t="n"/>
      <c r="C152" s="35" t="n"/>
      <c r="D152" s="35" t="n"/>
      <c r="E152" s="47" t="n"/>
      <c r="F152" s="38" t="n"/>
      <c r="G152" s="37" t="n"/>
      <c r="H152" s="48" t="n"/>
      <c r="I152" s="38" t="n"/>
      <c r="J152" s="39" t="n"/>
      <c r="K152" s="39" t="n"/>
      <c r="L152" s="39" t="n"/>
      <c r="M152" s="39" t="n"/>
      <c r="N152" s="47" t="n"/>
      <c r="O152" s="35" t="n"/>
    </row>
    <row r="153">
      <c r="A153" s="35" t="n"/>
      <c r="B153" s="46" t="n"/>
      <c r="C153" s="35" t="n"/>
      <c r="D153" s="35" t="n"/>
      <c r="E153" s="47" t="n"/>
      <c r="F153" s="38" t="n"/>
      <c r="G153" s="37" t="n"/>
      <c r="H153" s="48" t="n"/>
      <c r="I153" s="38" t="n"/>
      <c r="J153" s="39" t="n"/>
      <c r="K153" s="39" t="n"/>
      <c r="L153" s="39" t="n"/>
      <c r="M153" s="39" t="n"/>
      <c r="N153" s="47" t="n"/>
      <c r="O153" s="35" t="n"/>
    </row>
    <row r="154">
      <c r="A154" s="35" t="n"/>
      <c r="B154" s="46" t="n"/>
      <c r="C154" s="35" t="n"/>
      <c r="D154" s="35" t="n"/>
      <c r="E154" s="47" t="n"/>
      <c r="F154" s="38" t="n"/>
      <c r="G154" s="37" t="n"/>
      <c r="H154" s="48" t="n"/>
      <c r="I154" s="38" t="n"/>
      <c r="J154" s="39" t="n"/>
      <c r="K154" s="39" t="n"/>
      <c r="L154" s="39" t="n"/>
      <c r="M154" s="39" t="n"/>
      <c r="N154" s="47" t="n"/>
      <c r="O154" s="35" t="n"/>
    </row>
    <row r="155">
      <c r="A155" s="35" t="n"/>
      <c r="B155" s="46" t="n"/>
      <c r="C155" s="35" t="n"/>
      <c r="D155" s="35" t="n"/>
      <c r="E155" s="47" t="n"/>
      <c r="F155" s="38" t="n"/>
      <c r="G155" s="37" t="n"/>
      <c r="H155" s="48" t="n"/>
      <c r="I155" s="38" t="n"/>
      <c r="J155" s="39" t="n"/>
      <c r="K155" s="39" t="n"/>
      <c r="L155" s="39" t="n"/>
      <c r="M155" s="39" t="n"/>
      <c r="N155" s="47" t="n"/>
      <c r="O155" s="35" t="n"/>
    </row>
    <row r="156">
      <c r="A156" s="35" t="n"/>
      <c r="B156" s="46" t="n"/>
      <c r="C156" s="35" t="n"/>
      <c r="D156" s="35" t="n"/>
      <c r="E156" s="47" t="n"/>
      <c r="F156" s="38" t="n"/>
      <c r="G156" s="37" t="n"/>
      <c r="H156" s="48" t="n"/>
      <c r="I156" s="38" t="n"/>
      <c r="J156" s="39" t="n"/>
      <c r="K156" s="39" t="n"/>
      <c r="L156" s="39" t="n"/>
      <c r="M156" s="39" t="n"/>
      <c r="N156" s="47" t="n"/>
      <c r="O156" s="35" t="n"/>
    </row>
    <row r="157">
      <c r="A157" s="35" t="n"/>
      <c r="B157" s="46" t="n"/>
      <c r="C157" s="35" t="n"/>
      <c r="D157" s="35" t="n"/>
      <c r="E157" s="47" t="n"/>
      <c r="F157" s="38" t="n"/>
      <c r="G157" s="37" t="n"/>
      <c r="H157" s="48" t="n"/>
      <c r="I157" s="38" t="n"/>
      <c r="J157" s="39" t="n"/>
      <c r="K157" s="39" t="n"/>
      <c r="L157" s="39" t="n"/>
      <c r="M157" s="39" t="n"/>
      <c r="N157" s="47" t="n"/>
      <c r="O157" s="35" t="n"/>
    </row>
    <row r="158">
      <c r="A158" s="35" t="n"/>
      <c r="B158" s="46" t="n"/>
      <c r="C158" s="35" t="n"/>
      <c r="D158" s="35" t="n"/>
      <c r="E158" s="47" t="n"/>
      <c r="F158" s="38" t="n"/>
      <c r="G158" s="37" t="n"/>
      <c r="H158" s="48" t="n"/>
      <c r="I158" s="38" t="n"/>
      <c r="J158" s="39" t="n"/>
      <c r="K158" s="39" t="n"/>
      <c r="L158" s="39" t="n"/>
      <c r="M158" s="39" t="n"/>
      <c r="N158" s="47" t="n"/>
      <c r="O158" s="35" t="n"/>
    </row>
    <row r="159">
      <c r="A159" s="35" t="n"/>
      <c r="B159" s="46" t="n"/>
      <c r="C159" s="35" t="n"/>
      <c r="D159" s="35" t="n"/>
      <c r="E159" s="47" t="n"/>
      <c r="F159" s="38" t="n"/>
      <c r="G159" s="37" t="n"/>
      <c r="H159" s="48" t="n"/>
      <c r="I159" s="38" t="n"/>
      <c r="J159" s="39" t="n"/>
      <c r="K159" s="39" t="n"/>
      <c r="L159" s="39" t="n"/>
      <c r="M159" s="39" t="n"/>
      <c r="N159" s="47" t="n"/>
      <c r="O159" s="35" t="n"/>
    </row>
    <row r="160">
      <c r="A160" s="35" t="n"/>
      <c r="B160" s="46" t="n"/>
      <c r="C160" s="35" t="n"/>
      <c r="D160" s="35" t="n"/>
      <c r="E160" s="47" t="n"/>
      <c r="F160" s="38" t="n"/>
      <c r="G160" s="37" t="n"/>
      <c r="H160" s="48" t="n"/>
      <c r="I160" s="38" t="n"/>
      <c r="J160" s="39" t="n"/>
      <c r="K160" s="39" t="n"/>
      <c r="L160" s="39" t="n"/>
      <c r="M160" s="39" t="n"/>
      <c r="N160" s="47" t="n"/>
      <c r="O160" s="35" t="n"/>
    </row>
    <row r="161">
      <c r="A161" s="35" t="n"/>
      <c r="B161" s="46" t="n"/>
      <c r="C161" s="35" t="n"/>
      <c r="D161" s="35" t="n"/>
      <c r="E161" s="47" t="n"/>
      <c r="F161" s="38" t="n"/>
      <c r="G161" s="37" t="n"/>
      <c r="H161" s="48" t="n"/>
      <c r="I161" s="38" t="n"/>
      <c r="J161" s="39" t="n"/>
      <c r="K161" s="39" t="n"/>
      <c r="L161" s="39" t="n"/>
      <c r="M161" s="39" t="n"/>
      <c r="N161" s="47" t="n"/>
      <c r="O161" s="35" t="n"/>
    </row>
    <row r="162">
      <c r="A162" s="35" t="n"/>
      <c r="B162" s="46" t="n"/>
      <c r="C162" s="35" t="n"/>
      <c r="D162" s="35" t="n"/>
      <c r="E162" s="47" t="n"/>
      <c r="F162" s="38" t="n"/>
      <c r="G162" s="37" t="n"/>
      <c r="H162" s="48" t="n"/>
      <c r="I162" s="38" t="n"/>
      <c r="J162" s="39" t="n"/>
      <c r="K162" s="39" t="n"/>
      <c r="L162" s="39" t="n"/>
      <c r="M162" s="39" t="n"/>
      <c r="N162" s="47" t="n"/>
      <c r="O162" s="35" t="n"/>
    </row>
    <row r="163">
      <c r="A163" s="35" t="n"/>
      <c r="B163" s="46" t="n"/>
      <c r="C163" s="35" t="n"/>
      <c r="D163" s="35" t="n"/>
      <c r="E163" s="47" t="n"/>
      <c r="F163" s="38" t="n"/>
      <c r="G163" s="37" t="n"/>
      <c r="H163" s="48" t="n"/>
      <c r="I163" s="38" t="n"/>
      <c r="J163" s="39" t="n"/>
      <c r="K163" s="39" t="n"/>
      <c r="L163" s="39" t="n"/>
      <c r="M163" s="39" t="n"/>
      <c r="N163" s="47" t="n"/>
      <c r="O163" s="35" t="n"/>
    </row>
    <row r="164">
      <c r="A164" s="35" t="n"/>
      <c r="B164" s="46" t="n"/>
      <c r="C164" s="35" t="n"/>
      <c r="D164" s="35" t="n"/>
      <c r="E164" s="47" t="n"/>
      <c r="F164" s="38" t="n"/>
      <c r="G164" s="37" t="n"/>
      <c r="H164" s="48" t="n"/>
      <c r="I164" s="38" t="n"/>
      <c r="J164" s="39" t="n"/>
      <c r="K164" s="39" t="n"/>
      <c r="L164" s="39" t="n"/>
      <c r="M164" s="39" t="n"/>
      <c r="N164" s="47" t="n"/>
      <c r="O164" s="35" t="n"/>
    </row>
    <row r="165">
      <c r="A165" s="35" t="n"/>
      <c r="B165" s="46" t="n"/>
      <c r="C165" s="35" t="n"/>
      <c r="D165" s="35" t="n"/>
      <c r="E165" s="47" t="n"/>
      <c r="F165" s="38" t="n"/>
      <c r="G165" s="37" t="n"/>
      <c r="H165" s="48" t="n"/>
      <c r="I165" s="38" t="n"/>
      <c r="J165" s="39" t="n"/>
      <c r="K165" s="39" t="n"/>
      <c r="L165" s="39" t="n"/>
      <c r="M165" s="39" t="n"/>
      <c r="N165" s="47" t="n"/>
      <c r="O165" s="35" t="n"/>
    </row>
    <row r="166">
      <c r="A166" s="35" t="n"/>
      <c r="B166" s="46" t="n"/>
      <c r="C166" s="35" t="n"/>
      <c r="D166" s="35" t="n"/>
      <c r="E166" s="47" t="n"/>
      <c r="F166" s="38" t="n"/>
      <c r="G166" s="37" t="n"/>
      <c r="H166" s="48" t="n"/>
      <c r="I166" s="38" t="n"/>
      <c r="J166" s="39" t="n"/>
      <c r="K166" s="39" t="n"/>
      <c r="L166" s="39" t="n"/>
      <c r="M166" s="39" t="n"/>
      <c r="N166" s="47" t="n"/>
      <c r="O166" s="35" t="n"/>
    </row>
    <row r="167">
      <c r="A167" s="35" t="n"/>
      <c r="B167" s="46" t="n"/>
      <c r="C167" s="35" t="n"/>
      <c r="D167" s="35" t="n"/>
      <c r="E167" s="47" t="n"/>
      <c r="F167" s="38" t="n"/>
      <c r="G167" s="37" t="n"/>
      <c r="H167" s="48" t="n"/>
      <c r="I167" s="38" t="n"/>
      <c r="J167" s="39" t="n"/>
      <c r="K167" s="39" t="n"/>
      <c r="L167" s="39" t="n"/>
      <c r="M167" s="39" t="n"/>
      <c r="N167" s="47" t="n"/>
      <c r="O167" s="35" t="n"/>
    </row>
    <row r="168">
      <c r="A168" s="35" t="n"/>
      <c r="B168" s="46" t="n"/>
      <c r="C168" s="35" t="n"/>
      <c r="D168" s="35" t="n"/>
      <c r="E168" s="47" t="n"/>
      <c r="F168" s="38" t="n"/>
      <c r="G168" s="37" t="n"/>
      <c r="H168" s="48" t="n"/>
      <c r="I168" s="38" t="n"/>
      <c r="J168" s="39" t="n"/>
      <c r="K168" s="39" t="n"/>
      <c r="L168" s="39" t="n"/>
      <c r="M168" s="39" t="n"/>
      <c r="N168" s="47" t="n"/>
      <c r="O168" s="35" t="n"/>
    </row>
    <row r="169">
      <c r="A169" s="35" t="n"/>
      <c r="B169" s="46" t="n"/>
      <c r="C169" s="35" t="n"/>
      <c r="D169" s="35" t="n"/>
      <c r="E169" s="47" t="n"/>
      <c r="F169" s="38" t="n"/>
      <c r="G169" s="37" t="n"/>
      <c r="H169" s="48" t="n"/>
      <c r="I169" s="38" t="n"/>
      <c r="J169" s="39" t="n"/>
      <c r="K169" s="39" t="n"/>
      <c r="L169" s="39" t="n"/>
      <c r="M169" s="39" t="n"/>
      <c r="N169" s="47" t="n"/>
      <c r="O169" s="35" t="n"/>
    </row>
    <row r="170">
      <c r="A170" s="35" t="n"/>
      <c r="B170" s="46" t="n"/>
      <c r="C170" s="35" t="n"/>
      <c r="D170" s="35" t="n"/>
      <c r="E170" s="47" t="n"/>
      <c r="F170" s="38" t="n"/>
      <c r="G170" s="37" t="n"/>
      <c r="H170" s="48" t="n"/>
      <c r="I170" s="38" t="n"/>
      <c r="J170" s="39" t="n"/>
      <c r="K170" s="39" t="n"/>
      <c r="L170" s="39" t="n"/>
      <c r="M170" s="39" t="n"/>
      <c r="N170" s="47" t="n"/>
      <c r="O170" s="35" t="n"/>
    </row>
    <row r="171">
      <c r="A171" s="35" t="n"/>
      <c r="B171" s="46" t="n"/>
      <c r="C171" s="35" t="n"/>
      <c r="D171" s="35" t="n"/>
      <c r="E171" s="47" t="n"/>
      <c r="F171" s="38" t="n"/>
      <c r="G171" s="37" t="n"/>
      <c r="H171" s="48" t="n"/>
      <c r="I171" s="38" t="n"/>
      <c r="J171" s="39" t="n"/>
      <c r="K171" s="39" t="n"/>
      <c r="L171" s="39" t="n"/>
      <c r="M171" s="39" t="n"/>
      <c r="N171" s="47" t="n"/>
      <c r="O171" s="35" t="n"/>
    </row>
    <row r="172">
      <c r="A172" s="35" t="n"/>
      <c r="B172" s="46" t="n"/>
      <c r="C172" s="35" t="n"/>
      <c r="D172" s="35" t="n"/>
      <c r="E172" s="47" t="n"/>
      <c r="F172" s="38" t="n"/>
      <c r="G172" s="37" t="n"/>
      <c r="H172" s="48" t="n"/>
      <c r="I172" s="38" t="n"/>
      <c r="J172" s="39" t="n"/>
      <c r="K172" s="39" t="n"/>
      <c r="L172" s="39" t="n"/>
      <c r="M172" s="39" t="n"/>
      <c r="N172" s="47" t="n"/>
      <c r="O172" s="35" t="n"/>
    </row>
    <row r="173">
      <c r="A173" s="35" t="n"/>
      <c r="B173" s="46" t="n"/>
      <c r="C173" s="35" t="n"/>
      <c r="D173" s="35" t="n"/>
      <c r="E173" s="47" t="n"/>
      <c r="F173" s="38" t="n"/>
      <c r="G173" s="37" t="n"/>
      <c r="H173" s="48" t="n"/>
      <c r="I173" s="38" t="n"/>
      <c r="J173" s="39" t="n"/>
      <c r="K173" s="39" t="n"/>
      <c r="L173" s="39" t="n"/>
      <c r="M173" s="39" t="n"/>
      <c r="N173" s="47" t="n"/>
      <c r="O173" s="35" t="n"/>
    </row>
    <row r="174">
      <c r="A174" s="35" t="n"/>
      <c r="B174" s="46" t="n"/>
      <c r="C174" s="35" t="n"/>
      <c r="D174" s="35" t="n"/>
      <c r="E174" s="47" t="n"/>
      <c r="F174" s="38" t="n"/>
      <c r="G174" s="37" t="n"/>
      <c r="H174" s="48" t="n"/>
      <c r="I174" s="38" t="n"/>
      <c r="J174" s="39" t="n"/>
      <c r="K174" s="39" t="n"/>
      <c r="L174" s="39" t="n"/>
      <c r="M174" s="39" t="n"/>
      <c r="N174" s="47" t="n"/>
      <c r="O174" s="35" t="n"/>
    </row>
    <row r="175">
      <c r="A175" s="35" t="n"/>
      <c r="B175" s="46" t="n"/>
      <c r="C175" s="35" t="n"/>
      <c r="D175" s="35" t="n"/>
      <c r="E175" s="47" t="n"/>
      <c r="F175" s="38" t="n"/>
      <c r="G175" s="37" t="n"/>
      <c r="H175" s="48" t="n"/>
      <c r="I175" s="38" t="n"/>
      <c r="J175" s="39" t="n"/>
      <c r="K175" s="39" t="n"/>
      <c r="L175" s="39" t="n"/>
      <c r="M175" s="39" t="n"/>
      <c r="N175" s="47" t="n"/>
      <c r="O175" s="35" t="n"/>
    </row>
    <row r="176">
      <c r="A176" s="35" t="n"/>
      <c r="B176" s="46" t="n"/>
      <c r="C176" s="35" t="n"/>
      <c r="D176" s="35" t="n"/>
      <c r="E176" s="47" t="n"/>
      <c r="F176" s="38" t="n"/>
      <c r="G176" s="37" t="n"/>
      <c r="H176" s="48" t="n"/>
      <c r="I176" s="38" t="n"/>
      <c r="J176" s="39" t="n"/>
      <c r="K176" s="39" t="n"/>
      <c r="L176" s="39" t="n"/>
      <c r="M176" s="39" t="n"/>
      <c r="N176" s="47" t="n"/>
      <c r="O176" s="35" t="n"/>
    </row>
    <row r="177">
      <c r="A177" s="35" t="n"/>
      <c r="B177" s="46" t="n"/>
      <c r="C177" s="35" t="n"/>
      <c r="D177" s="35" t="n"/>
      <c r="E177" s="47" t="n"/>
      <c r="F177" s="38" t="n"/>
      <c r="G177" s="37" t="n"/>
      <c r="H177" s="48" t="n"/>
      <c r="I177" s="38" t="n"/>
      <c r="J177" s="39" t="n"/>
      <c r="K177" s="39" t="n"/>
      <c r="L177" s="39" t="n"/>
      <c r="M177" s="39" t="n"/>
      <c r="N177" s="47" t="n"/>
      <c r="O177" s="35" t="n"/>
    </row>
    <row r="178">
      <c r="A178" s="35" t="n"/>
      <c r="B178" s="46" t="n"/>
      <c r="C178" s="35" t="n"/>
      <c r="D178" s="35" t="n"/>
      <c r="E178" s="47" t="n"/>
      <c r="F178" s="38" t="n"/>
      <c r="G178" s="37" t="n"/>
      <c r="H178" s="48" t="n"/>
      <c r="I178" s="38" t="n"/>
      <c r="J178" s="39" t="n"/>
      <c r="K178" s="39" t="n"/>
      <c r="L178" s="39" t="n"/>
      <c r="M178" s="39" t="n"/>
      <c r="N178" s="47" t="n"/>
      <c r="O178" s="35" t="n"/>
    </row>
    <row r="179">
      <c r="A179" s="35" t="n"/>
      <c r="B179" s="46" t="n"/>
      <c r="C179" s="35" t="n"/>
      <c r="D179" s="35" t="n"/>
      <c r="E179" s="47" t="n"/>
      <c r="F179" s="38" t="n"/>
      <c r="G179" s="37" t="n"/>
      <c r="H179" s="48" t="n"/>
      <c r="I179" s="38" t="n"/>
      <c r="J179" s="39" t="n"/>
      <c r="K179" s="39" t="n"/>
      <c r="L179" s="39" t="n"/>
      <c r="M179" s="39" t="n"/>
      <c r="N179" s="47" t="n"/>
      <c r="O179" s="35" t="n"/>
    </row>
    <row r="180">
      <c r="A180" s="35" t="n"/>
      <c r="B180" s="46" t="n"/>
      <c r="C180" s="35" t="n"/>
      <c r="D180" s="35" t="n"/>
      <c r="E180" s="47" t="n"/>
      <c r="F180" s="38" t="n"/>
      <c r="G180" s="37" t="n"/>
      <c r="H180" s="48" t="n"/>
      <c r="I180" s="38" t="n"/>
      <c r="J180" s="39" t="n"/>
      <c r="K180" s="39" t="n"/>
      <c r="L180" s="39" t="n"/>
      <c r="M180" s="39" t="n"/>
      <c r="N180" s="47" t="n"/>
      <c r="O180" s="35" t="n"/>
    </row>
    <row r="181">
      <c r="A181" s="35" t="n"/>
      <c r="B181" s="46" t="n"/>
      <c r="C181" s="35" t="n"/>
      <c r="D181" s="35" t="n"/>
      <c r="E181" s="47" t="n"/>
      <c r="F181" s="38" t="n"/>
      <c r="G181" s="37" t="n"/>
      <c r="H181" s="48" t="n"/>
      <c r="I181" s="38" t="n"/>
      <c r="J181" s="39" t="n"/>
      <c r="K181" s="39" t="n"/>
      <c r="L181" s="39" t="n"/>
      <c r="M181" s="39" t="n"/>
      <c r="N181" s="47" t="n"/>
      <c r="O181" s="35" t="n"/>
    </row>
    <row r="182">
      <c r="A182" s="35" t="n"/>
      <c r="B182" s="46" t="n"/>
      <c r="C182" s="35" t="n"/>
      <c r="D182" s="35" t="n"/>
      <c r="E182" s="47" t="n"/>
      <c r="F182" s="38" t="n"/>
      <c r="G182" s="37" t="n"/>
      <c r="H182" s="48" t="n"/>
      <c r="I182" s="38" t="n"/>
      <c r="J182" s="39" t="n"/>
      <c r="K182" s="39" t="n"/>
      <c r="L182" s="39" t="n"/>
      <c r="M182" s="39" t="n"/>
      <c r="N182" s="47" t="n"/>
      <c r="O182" s="35" t="n"/>
    </row>
    <row r="183">
      <c r="A183" s="35" t="n"/>
      <c r="B183" s="46" t="n"/>
      <c r="C183" s="35" t="n"/>
      <c r="D183" s="35" t="n"/>
      <c r="E183" s="47" t="n"/>
      <c r="F183" s="38" t="n"/>
      <c r="G183" s="37" t="n"/>
      <c r="H183" s="48" t="n"/>
      <c r="I183" s="38" t="n"/>
      <c r="J183" s="39" t="n"/>
      <c r="K183" s="39" t="n"/>
      <c r="L183" s="39" t="n"/>
      <c r="M183" s="39" t="n"/>
      <c r="N183" s="47" t="n"/>
      <c r="O183" s="35" t="n"/>
    </row>
    <row r="184">
      <c r="A184" s="35" t="n"/>
      <c r="B184" s="46" t="n"/>
      <c r="C184" s="35" t="n"/>
      <c r="D184" s="35" t="n"/>
      <c r="E184" s="47" t="n"/>
      <c r="F184" s="38" t="n"/>
      <c r="G184" s="37" t="n"/>
      <c r="H184" s="48" t="n"/>
      <c r="I184" s="38" t="n"/>
      <c r="J184" s="39" t="n"/>
      <c r="K184" s="39" t="n"/>
      <c r="L184" s="39" t="n"/>
      <c r="M184" s="39" t="n"/>
      <c r="N184" s="47" t="n"/>
      <c r="O184" s="35" t="n"/>
    </row>
    <row r="185">
      <c r="A185" s="35" t="n"/>
      <c r="B185" s="46" t="n"/>
      <c r="C185" s="35" t="n"/>
      <c r="D185" s="35" t="n"/>
      <c r="E185" s="47" t="n"/>
      <c r="F185" s="38" t="n"/>
      <c r="G185" s="37" t="n"/>
      <c r="H185" s="48" t="n"/>
      <c r="I185" s="38" t="n"/>
      <c r="J185" s="39" t="n"/>
      <c r="K185" s="39" t="n"/>
      <c r="L185" s="39" t="n"/>
      <c r="M185" s="39" t="n"/>
      <c r="N185" s="47" t="n"/>
      <c r="O185" s="35" t="n"/>
    </row>
    <row r="186">
      <c r="A186" s="35" t="n"/>
      <c r="B186" s="46" t="n"/>
      <c r="C186" s="35" t="n"/>
      <c r="D186" s="35" t="n"/>
      <c r="E186" s="47" t="n"/>
      <c r="F186" s="38" t="n"/>
      <c r="G186" s="37" t="n"/>
      <c r="H186" s="48" t="n"/>
      <c r="I186" s="38" t="n"/>
      <c r="J186" s="39" t="n"/>
      <c r="K186" s="39" t="n"/>
      <c r="L186" s="39" t="n"/>
      <c r="M186" s="39" t="n"/>
      <c r="N186" s="47" t="n"/>
      <c r="O186" s="35" t="n"/>
    </row>
    <row r="187">
      <c r="A187" s="35" t="n"/>
      <c r="B187" s="46" t="n"/>
      <c r="C187" s="35" t="n"/>
      <c r="D187" s="35" t="n"/>
      <c r="E187" s="47" t="n"/>
      <c r="F187" s="38" t="n"/>
      <c r="G187" s="37" t="n"/>
      <c r="H187" s="48" t="n"/>
      <c r="I187" s="38" t="n"/>
      <c r="J187" s="39" t="n"/>
      <c r="K187" s="39" t="n"/>
      <c r="L187" s="39" t="n"/>
      <c r="M187" s="39" t="n"/>
      <c r="N187" s="47" t="n"/>
      <c r="O187" s="35" t="n"/>
    </row>
    <row r="188">
      <c r="A188" s="35" t="n"/>
      <c r="B188" s="46" t="n"/>
      <c r="C188" s="35" t="n"/>
      <c r="D188" s="35" t="n"/>
      <c r="E188" s="47" t="n"/>
      <c r="F188" s="38" t="n"/>
      <c r="G188" s="37" t="n"/>
      <c r="H188" s="48" t="n"/>
      <c r="I188" s="38" t="n"/>
      <c r="J188" s="39" t="n"/>
      <c r="K188" s="39" t="n"/>
      <c r="L188" s="39" t="n"/>
      <c r="M188" s="39" t="n"/>
      <c r="N188" s="47" t="n"/>
      <c r="O188" s="35" t="n"/>
    </row>
    <row r="189">
      <c r="A189" s="35" t="n"/>
      <c r="B189" s="46" t="n"/>
      <c r="C189" s="35" t="n"/>
      <c r="D189" s="35" t="n"/>
      <c r="E189" s="47" t="n"/>
      <c r="F189" s="38" t="n"/>
      <c r="G189" s="37" t="n"/>
      <c r="H189" s="48" t="n"/>
      <c r="I189" s="38" t="n"/>
      <c r="J189" s="39" t="n"/>
      <c r="K189" s="39" t="n"/>
      <c r="L189" s="39" t="n"/>
      <c r="M189" s="39" t="n"/>
      <c r="N189" s="47" t="n"/>
      <c r="O189" s="35" t="n"/>
    </row>
    <row r="190">
      <c r="A190" s="35" t="n"/>
      <c r="B190" s="46" t="n"/>
      <c r="C190" s="35" t="n"/>
      <c r="D190" s="35" t="n"/>
      <c r="E190" s="47" t="n"/>
      <c r="F190" s="38" t="n"/>
      <c r="G190" s="37" t="n"/>
      <c r="H190" s="48" t="n"/>
      <c r="I190" s="38" t="n"/>
      <c r="J190" s="39" t="n"/>
      <c r="K190" s="39" t="n"/>
      <c r="L190" s="39" t="n"/>
      <c r="M190" s="39" t="n"/>
      <c r="N190" s="47" t="n"/>
      <c r="O190" s="35" t="n"/>
    </row>
    <row r="191">
      <c r="A191" s="35" t="n"/>
      <c r="B191" s="46" t="n"/>
      <c r="C191" s="35" t="n"/>
      <c r="D191" s="35" t="n"/>
      <c r="E191" s="47" t="n"/>
      <c r="F191" s="38" t="n"/>
      <c r="G191" s="37" t="n"/>
      <c r="H191" s="48" t="n"/>
      <c r="I191" s="38" t="n"/>
      <c r="J191" s="39" t="n"/>
      <c r="K191" s="39" t="n"/>
      <c r="L191" s="39" t="n"/>
      <c r="M191" s="39" t="n"/>
      <c r="N191" s="47" t="n"/>
      <c r="O191" s="35" t="n"/>
    </row>
    <row r="192">
      <c r="A192" s="35" t="n"/>
      <c r="B192" s="46" t="n"/>
      <c r="C192" s="35" t="n"/>
      <c r="D192" s="35" t="n"/>
      <c r="E192" s="47" t="n"/>
      <c r="F192" s="38" t="n"/>
      <c r="G192" s="37" t="n"/>
      <c r="H192" s="48" t="n"/>
      <c r="I192" s="38" t="n"/>
      <c r="J192" s="39" t="n"/>
      <c r="K192" s="39" t="n"/>
      <c r="L192" s="39" t="n"/>
      <c r="M192" s="39" t="n"/>
      <c r="N192" s="47" t="n"/>
      <c r="O192" s="35" t="n"/>
    </row>
    <row r="193">
      <c r="A193" s="35" t="n"/>
      <c r="B193" s="46" t="n"/>
      <c r="C193" s="35" t="n"/>
      <c r="D193" s="35" t="n"/>
      <c r="E193" s="47" t="n"/>
      <c r="F193" s="38" t="n"/>
      <c r="G193" s="37" t="n"/>
      <c r="H193" s="48" t="n"/>
      <c r="I193" s="38" t="n"/>
      <c r="J193" s="39" t="n"/>
      <c r="K193" s="39" t="n"/>
      <c r="L193" s="39" t="n"/>
      <c r="M193" s="39" t="n"/>
      <c r="N193" s="47" t="n"/>
      <c r="O193" s="35" t="n"/>
    </row>
    <row r="194">
      <c r="A194" s="35" t="n"/>
      <c r="B194" s="46" t="n"/>
      <c r="C194" s="35" t="n"/>
      <c r="D194" s="35" t="n"/>
      <c r="E194" s="47" t="n"/>
      <c r="F194" s="38" t="n"/>
      <c r="G194" s="37" t="n"/>
      <c r="H194" s="48" t="n"/>
      <c r="I194" s="38" t="n"/>
      <c r="J194" s="39" t="n"/>
      <c r="K194" s="39" t="n"/>
      <c r="L194" s="39" t="n"/>
      <c r="M194" s="39" t="n"/>
      <c r="N194" s="47" t="n"/>
      <c r="O194" s="35" t="n"/>
    </row>
    <row r="195">
      <c r="A195" s="35" t="n"/>
      <c r="B195" s="46" t="n"/>
      <c r="C195" s="35" t="n"/>
      <c r="D195" s="35" t="n"/>
      <c r="E195" s="47" t="n"/>
      <c r="F195" s="38" t="n"/>
      <c r="G195" s="37" t="n"/>
      <c r="H195" s="48" t="n"/>
      <c r="I195" s="38" t="n"/>
      <c r="J195" s="39" t="n"/>
      <c r="K195" s="39" t="n"/>
      <c r="L195" s="39" t="n"/>
      <c r="M195" s="39" t="n"/>
      <c r="N195" s="47" t="n"/>
      <c r="O195" s="35" t="n"/>
    </row>
    <row r="196">
      <c r="A196" s="35" t="n"/>
      <c r="B196" s="46" t="n"/>
      <c r="C196" s="35" t="n"/>
      <c r="D196" s="35" t="n"/>
      <c r="E196" s="47" t="n"/>
      <c r="F196" s="38" t="n"/>
      <c r="G196" s="37" t="n"/>
      <c r="H196" s="48" t="n"/>
      <c r="I196" s="38" t="n"/>
      <c r="J196" s="39" t="n"/>
      <c r="K196" s="39" t="n"/>
      <c r="L196" s="39" t="n"/>
      <c r="M196" s="39" t="n"/>
      <c r="N196" s="47" t="n"/>
      <c r="O196" s="35" t="n"/>
    </row>
    <row r="197">
      <c r="A197" s="35" t="n"/>
      <c r="B197" s="46" t="n"/>
      <c r="C197" s="35" t="n"/>
      <c r="D197" s="35" t="n"/>
      <c r="E197" s="47" t="n"/>
      <c r="F197" s="38" t="n"/>
      <c r="G197" s="37" t="n"/>
      <c r="H197" s="48" t="n"/>
      <c r="I197" s="38" t="n"/>
      <c r="J197" s="39" t="n"/>
      <c r="K197" s="39" t="n"/>
      <c r="L197" s="39" t="n"/>
      <c r="M197" s="39" t="n"/>
      <c r="N197" s="47" t="n"/>
      <c r="O197" s="35" t="n"/>
    </row>
    <row r="198">
      <c r="A198" s="35" t="n"/>
      <c r="B198" s="46" t="n"/>
      <c r="C198" s="35" t="n"/>
      <c r="D198" s="35" t="n"/>
      <c r="E198" s="47" t="n"/>
      <c r="F198" s="38" t="n"/>
      <c r="G198" s="37" t="n"/>
      <c r="H198" s="48" t="n"/>
      <c r="I198" s="38" t="n"/>
      <c r="J198" s="39" t="n"/>
      <c r="K198" s="39" t="n"/>
      <c r="L198" s="39" t="n"/>
      <c r="M198" s="39" t="n"/>
      <c r="N198" s="47" t="n"/>
      <c r="O198" s="35" t="n"/>
    </row>
    <row r="199">
      <c r="A199" s="35" t="n"/>
      <c r="B199" s="46" t="n"/>
      <c r="C199" s="35" t="n"/>
      <c r="D199" s="35" t="n"/>
      <c r="E199" s="47" t="n"/>
      <c r="F199" s="38" t="n"/>
      <c r="G199" s="37" t="n"/>
      <c r="H199" s="48" t="n"/>
      <c r="I199" s="38" t="n"/>
      <c r="J199" s="39" t="n"/>
      <c r="K199" s="39" t="n"/>
      <c r="L199" s="39" t="n"/>
      <c r="M199" s="39" t="n"/>
      <c r="N199" s="47" t="n"/>
      <c r="O199" s="35" t="n"/>
    </row>
    <row r="200">
      <c r="A200" s="35" t="n"/>
      <c r="B200" s="46" t="n"/>
      <c r="C200" s="35" t="n"/>
      <c r="D200" s="35" t="n"/>
      <c r="E200" s="47" t="n"/>
      <c r="F200" s="38" t="n"/>
      <c r="G200" s="37" t="n"/>
      <c r="H200" s="48" t="n"/>
      <c r="I200" s="38" t="n"/>
      <c r="J200" s="39" t="n"/>
      <c r="K200" s="39" t="n"/>
      <c r="L200" s="39" t="n"/>
      <c r="M200" s="39" t="n"/>
      <c r="N200" s="47" t="n"/>
      <c r="O200" s="35" t="n"/>
    </row>
    <row r="201">
      <c r="A201" s="35" t="n"/>
      <c r="B201" s="46" t="n"/>
      <c r="C201" s="35" t="n"/>
      <c r="D201" s="35" t="n"/>
      <c r="E201" s="47" t="n"/>
      <c r="F201" s="38" t="n"/>
      <c r="G201" s="37" t="n"/>
      <c r="H201" s="48" t="n"/>
      <c r="I201" s="38" t="n"/>
      <c r="J201" s="39" t="n"/>
      <c r="K201" s="39" t="n"/>
      <c r="L201" s="39" t="n"/>
      <c r="M201" s="39" t="n"/>
      <c r="N201" s="47" t="n"/>
      <c r="O201" s="35" t="n"/>
    </row>
    <row r="202">
      <c r="A202" s="35" t="n"/>
      <c r="B202" s="46" t="n"/>
      <c r="C202" s="35" t="n"/>
      <c r="D202" s="35" t="n"/>
      <c r="E202" s="47" t="n"/>
      <c r="F202" s="38" t="n"/>
      <c r="G202" s="37" t="n"/>
      <c r="H202" s="48" t="n"/>
      <c r="I202" s="38" t="n"/>
      <c r="J202" s="39" t="n"/>
      <c r="K202" s="39" t="n"/>
      <c r="L202" s="39" t="n"/>
      <c r="M202" s="39" t="n"/>
      <c r="N202" s="47" t="n"/>
      <c r="O202" s="35" t="n"/>
    </row>
    <row r="203">
      <c r="A203" s="35" t="n"/>
      <c r="B203" s="46" t="n"/>
      <c r="C203" s="35" t="n"/>
      <c r="D203" s="35" t="n"/>
      <c r="E203" s="47" t="n"/>
      <c r="F203" s="38" t="n"/>
      <c r="G203" s="37" t="n"/>
      <c r="H203" s="48" t="n"/>
      <c r="I203" s="38" t="n"/>
      <c r="J203" s="39" t="n"/>
      <c r="K203" s="39" t="n"/>
      <c r="L203" s="39" t="n"/>
      <c r="M203" s="39" t="n"/>
      <c r="N203" s="47" t="n"/>
      <c r="O203" s="35" t="n"/>
    </row>
    <row r="204">
      <c r="A204" s="35" t="n"/>
      <c r="B204" s="46" t="n"/>
      <c r="C204" s="35" t="n"/>
      <c r="D204" s="35" t="n"/>
      <c r="E204" s="47" t="n"/>
      <c r="F204" s="38" t="n"/>
      <c r="G204" s="37" t="n"/>
      <c r="H204" s="48" t="n"/>
      <c r="I204" s="38" t="n"/>
      <c r="J204" s="39" t="n"/>
      <c r="K204" s="39" t="n"/>
      <c r="L204" s="39" t="n"/>
      <c r="M204" s="39" t="n"/>
      <c r="N204" s="47" t="n"/>
      <c r="O204" s="35" t="n"/>
    </row>
    <row r="205">
      <c r="A205" s="35" t="n"/>
      <c r="B205" s="46" t="n"/>
      <c r="C205" s="35" t="n"/>
      <c r="D205" s="35" t="n"/>
      <c r="E205" s="47" t="n"/>
      <c r="F205" s="38" t="n"/>
      <c r="G205" s="37" t="n"/>
      <c r="H205" s="48" t="n"/>
      <c r="I205" s="38" t="n"/>
      <c r="J205" s="39" t="n"/>
      <c r="K205" s="39" t="n"/>
      <c r="L205" s="39" t="n"/>
      <c r="M205" s="39" t="n"/>
      <c r="N205" s="47" t="n"/>
      <c r="O205" s="35" t="n"/>
    </row>
    <row r="206">
      <c r="A206" s="35" t="n"/>
      <c r="B206" s="46" t="n"/>
      <c r="C206" s="35" t="n"/>
      <c r="D206" s="35" t="n"/>
      <c r="E206" s="47" t="n"/>
      <c r="F206" s="38" t="n"/>
      <c r="G206" s="37" t="n"/>
      <c r="H206" s="48" t="n"/>
      <c r="I206" s="38" t="n"/>
      <c r="J206" s="39" t="n"/>
      <c r="K206" s="39" t="n"/>
      <c r="L206" s="39" t="n"/>
      <c r="M206" s="39" t="n"/>
      <c r="N206" s="47" t="n"/>
      <c r="O206" s="35" t="n"/>
    </row>
    <row r="207">
      <c r="A207" s="35" t="n"/>
      <c r="B207" s="46" t="n"/>
      <c r="C207" s="35" t="n"/>
      <c r="D207" s="35" t="n"/>
      <c r="E207" s="47" t="n"/>
      <c r="F207" s="38" t="n"/>
      <c r="G207" s="37" t="n"/>
      <c r="H207" s="48" t="n"/>
      <c r="I207" s="38" t="n"/>
      <c r="J207" s="39" t="n"/>
      <c r="K207" s="39" t="n"/>
      <c r="L207" s="39" t="n"/>
      <c r="M207" s="39" t="n"/>
      <c r="N207" s="47" t="n"/>
      <c r="O207" s="35" t="n"/>
    </row>
    <row r="208">
      <c r="A208" s="35" t="n"/>
      <c r="B208" s="46" t="n"/>
      <c r="C208" s="35" t="n"/>
      <c r="D208" s="35" t="n"/>
      <c r="E208" s="47" t="n"/>
      <c r="F208" s="38" t="n"/>
      <c r="G208" s="37" t="n"/>
      <c r="H208" s="48" t="n"/>
      <c r="I208" s="38" t="n"/>
      <c r="J208" s="39" t="n"/>
      <c r="K208" s="39" t="n"/>
      <c r="L208" s="39" t="n"/>
      <c r="M208" s="39" t="n"/>
      <c r="N208" s="47" t="n"/>
      <c r="O208" s="35" t="n"/>
    </row>
    <row r="209">
      <c r="A209" s="35" t="n"/>
      <c r="B209" s="46" t="n"/>
      <c r="C209" s="35" t="n"/>
      <c r="D209" s="35" t="n"/>
      <c r="E209" s="47" t="n"/>
      <c r="F209" s="38" t="n"/>
      <c r="G209" s="37" t="n"/>
      <c r="H209" s="48" t="n"/>
      <c r="I209" s="38" t="n"/>
      <c r="J209" s="39" t="n"/>
      <c r="K209" s="39" t="n"/>
      <c r="L209" s="39" t="n"/>
      <c r="M209" s="39" t="n"/>
      <c r="N209" s="47" t="n"/>
      <c r="O209" s="35" t="n"/>
    </row>
    <row r="210">
      <c r="A210" s="35" t="n"/>
      <c r="B210" s="46" t="n"/>
      <c r="C210" s="35" t="n"/>
      <c r="D210" s="35" t="n"/>
      <c r="E210" s="47" t="n"/>
      <c r="F210" s="38" t="n"/>
      <c r="G210" s="37" t="n"/>
      <c r="H210" s="48" t="n"/>
      <c r="I210" s="38" t="n"/>
      <c r="J210" s="39" t="n"/>
      <c r="K210" s="39" t="n"/>
      <c r="L210" s="39" t="n"/>
      <c r="M210" s="39" t="n"/>
      <c r="N210" s="47" t="n"/>
      <c r="O210" s="35" t="n"/>
    </row>
    <row r="211">
      <c r="A211" s="35" t="n"/>
      <c r="B211" s="46" t="n"/>
      <c r="C211" s="35" t="n"/>
      <c r="D211" s="35" t="n"/>
      <c r="E211" s="47" t="n"/>
      <c r="F211" s="38" t="n"/>
      <c r="G211" s="37" t="n"/>
      <c r="H211" s="48" t="n"/>
      <c r="I211" s="38" t="n"/>
      <c r="J211" s="39" t="n"/>
      <c r="K211" s="39" t="n"/>
      <c r="L211" s="39" t="n"/>
      <c r="M211" s="39" t="n"/>
      <c r="N211" s="47" t="n"/>
      <c r="O211" s="35" t="n"/>
    </row>
    <row r="212">
      <c r="A212" s="35" t="n"/>
      <c r="B212" s="46" t="n"/>
      <c r="C212" s="35" t="n"/>
      <c r="D212" s="35" t="n"/>
      <c r="E212" s="47" t="n"/>
      <c r="F212" s="38" t="n"/>
      <c r="G212" s="37" t="n"/>
      <c r="H212" s="48" t="n"/>
      <c r="I212" s="38" t="n"/>
      <c r="J212" s="39" t="n"/>
      <c r="K212" s="39" t="n"/>
      <c r="L212" s="39" t="n"/>
      <c r="M212" s="39" t="n"/>
      <c r="N212" s="47" t="n"/>
      <c r="O212" s="35" t="n"/>
    </row>
    <row r="213">
      <c r="A213" s="35" t="n"/>
      <c r="B213" s="46" t="n"/>
      <c r="C213" s="35" t="n"/>
      <c r="D213" s="35" t="n"/>
      <c r="E213" s="47" t="n"/>
      <c r="F213" s="38" t="n"/>
      <c r="G213" s="37" t="n"/>
      <c r="H213" s="48" t="n"/>
      <c r="I213" s="38" t="n"/>
      <c r="J213" s="39" t="n"/>
      <c r="K213" s="39" t="n"/>
      <c r="L213" s="39" t="n"/>
      <c r="M213" s="39" t="n"/>
      <c r="N213" s="47" t="n"/>
      <c r="O213" s="35" t="n"/>
    </row>
    <row r="214">
      <c r="A214" s="35" t="n"/>
      <c r="B214" s="46" t="n"/>
      <c r="C214" s="35" t="n"/>
      <c r="D214" s="35" t="n"/>
      <c r="E214" s="47" t="n"/>
      <c r="F214" s="38" t="n"/>
      <c r="G214" s="37" t="n"/>
      <c r="H214" s="48" t="n"/>
      <c r="I214" s="38" t="n"/>
      <c r="J214" s="39" t="n"/>
      <c r="K214" s="39" t="n"/>
      <c r="L214" s="39" t="n"/>
      <c r="M214" s="39" t="n"/>
      <c r="N214" s="47" t="n"/>
      <c r="O214" s="35" t="n"/>
    </row>
    <row r="215">
      <c r="A215" s="35" t="n"/>
      <c r="B215" s="46" t="n"/>
      <c r="C215" s="35" t="n"/>
      <c r="D215" s="35" t="n"/>
      <c r="E215" s="47" t="n"/>
      <c r="F215" s="38" t="n"/>
      <c r="G215" s="37" t="n"/>
      <c r="H215" s="48" t="n"/>
      <c r="I215" s="38" t="n"/>
      <c r="J215" s="39" t="n"/>
      <c r="K215" s="39" t="n"/>
      <c r="L215" s="39" t="n"/>
      <c r="M215" s="39" t="n"/>
      <c r="N215" s="47" t="n"/>
      <c r="O215" s="35" t="n"/>
    </row>
    <row r="216">
      <c r="A216" s="35" t="n"/>
      <c r="B216" s="46" t="n"/>
      <c r="C216" s="35" t="n"/>
      <c r="D216" s="35" t="n"/>
      <c r="E216" s="47" t="n"/>
      <c r="F216" s="38" t="n"/>
      <c r="G216" s="37" t="n"/>
      <c r="H216" s="48" t="n"/>
      <c r="I216" s="38" t="n"/>
      <c r="J216" s="39" t="n"/>
      <c r="K216" s="39" t="n"/>
      <c r="L216" s="39" t="n"/>
      <c r="M216" s="39" t="n"/>
      <c r="N216" s="47" t="n"/>
      <c r="O216" s="35" t="n"/>
    </row>
    <row r="217">
      <c r="A217" s="35" t="n"/>
      <c r="B217" s="46" t="n"/>
      <c r="C217" s="35" t="n"/>
      <c r="D217" s="35" t="n"/>
      <c r="E217" s="47" t="n"/>
      <c r="F217" s="38" t="n"/>
      <c r="G217" s="37" t="n"/>
      <c r="H217" s="48" t="n"/>
      <c r="I217" s="38" t="n"/>
      <c r="J217" s="39" t="n"/>
      <c r="K217" s="39" t="n"/>
      <c r="L217" s="39" t="n"/>
      <c r="M217" s="39" t="n"/>
      <c r="N217" s="47" t="n"/>
      <c r="O217" s="35" t="n"/>
    </row>
    <row r="218">
      <c r="A218" s="35" t="n"/>
      <c r="B218" s="46" t="n"/>
      <c r="C218" s="35" t="n"/>
      <c r="D218" s="35" t="n"/>
      <c r="E218" s="47" t="n"/>
      <c r="F218" s="38" t="n"/>
      <c r="G218" s="37" t="n"/>
      <c r="H218" s="48" t="n"/>
      <c r="I218" s="38" t="n"/>
      <c r="J218" s="39" t="n"/>
      <c r="K218" s="39" t="n"/>
      <c r="L218" s="39" t="n"/>
      <c r="M218" s="39" t="n"/>
      <c r="N218" s="47" t="n"/>
      <c r="O218" s="35" t="n"/>
    </row>
    <row r="219">
      <c r="A219" s="35" t="n"/>
      <c r="B219" s="46" t="n"/>
      <c r="C219" s="35" t="n"/>
      <c r="D219" s="35" t="n"/>
      <c r="E219" s="47" t="n"/>
      <c r="F219" s="38" t="n"/>
      <c r="G219" s="37" t="n"/>
      <c r="H219" s="48" t="n"/>
      <c r="I219" s="38" t="n"/>
      <c r="J219" s="39" t="n"/>
      <c r="K219" s="39" t="n"/>
      <c r="L219" s="39" t="n"/>
      <c r="M219" s="39" t="n"/>
      <c r="N219" s="47" t="n"/>
      <c r="O219" s="35" t="n"/>
    </row>
    <row r="220">
      <c r="A220" s="35" t="n"/>
      <c r="B220" s="46" t="n"/>
      <c r="C220" s="35" t="n"/>
      <c r="D220" s="35" t="n"/>
      <c r="E220" s="47" t="n"/>
      <c r="F220" s="38" t="n"/>
      <c r="G220" s="37" t="n"/>
      <c r="H220" s="48" t="n"/>
      <c r="I220" s="38" t="n"/>
      <c r="J220" s="39" t="n"/>
      <c r="K220" s="39" t="n"/>
      <c r="L220" s="39" t="n"/>
      <c r="M220" s="39" t="n"/>
      <c r="N220" s="47" t="n"/>
      <c r="O220" s="35" t="n"/>
    </row>
    <row r="221">
      <c r="A221" s="35" t="n"/>
      <c r="B221" s="46" t="n"/>
      <c r="C221" s="35" t="n"/>
      <c r="D221" s="35" t="n"/>
      <c r="E221" s="47" t="n"/>
      <c r="F221" s="38" t="n"/>
      <c r="G221" s="37" t="n"/>
      <c r="H221" s="48" t="n"/>
      <c r="I221" s="38" t="n"/>
      <c r="J221" s="39" t="n"/>
      <c r="K221" s="39" t="n"/>
      <c r="L221" s="39" t="n"/>
      <c r="M221" s="39" t="n"/>
      <c r="N221" s="47" t="n"/>
      <c r="O221" s="35" t="n"/>
    </row>
    <row r="222">
      <c r="A222" s="35" t="n"/>
      <c r="B222" s="46" t="n"/>
      <c r="C222" s="35" t="n"/>
      <c r="D222" s="35" t="n"/>
      <c r="E222" s="47" t="n"/>
      <c r="F222" s="38" t="n"/>
      <c r="G222" s="37" t="n"/>
      <c r="H222" s="48" t="n"/>
      <c r="I222" s="38" t="n"/>
      <c r="J222" s="39" t="n"/>
      <c r="K222" s="39" t="n"/>
      <c r="L222" s="39" t="n"/>
      <c r="M222" s="39" t="n"/>
      <c r="N222" s="47" t="n"/>
      <c r="O222" s="35" t="n"/>
    </row>
    <row r="223">
      <c r="A223" s="35" t="n"/>
      <c r="B223" s="46" t="n"/>
      <c r="C223" s="35" t="n"/>
      <c r="D223" s="35" t="n"/>
      <c r="E223" s="47" t="n"/>
      <c r="F223" s="38" t="n"/>
      <c r="G223" s="37" t="n"/>
      <c r="H223" s="48" t="n"/>
      <c r="I223" s="38" t="n"/>
      <c r="J223" s="39" t="n"/>
      <c r="K223" s="39" t="n"/>
      <c r="L223" s="39" t="n"/>
      <c r="M223" s="39" t="n"/>
      <c r="N223" s="47" t="n"/>
      <c r="O223" s="35" t="n"/>
    </row>
    <row r="224">
      <c r="A224" s="35" t="n"/>
      <c r="B224" s="46" t="n"/>
      <c r="C224" s="35" t="n"/>
      <c r="D224" s="35" t="n"/>
      <c r="E224" s="47" t="n"/>
      <c r="F224" s="38" t="n"/>
      <c r="G224" s="37" t="n"/>
      <c r="H224" s="48" t="n"/>
      <c r="I224" s="38" t="n"/>
      <c r="J224" s="39" t="n"/>
      <c r="K224" s="39" t="n"/>
      <c r="L224" s="39" t="n"/>
      <c r="M224" s="39" t="n"/>
      <c r="N224" s="47" t="n"/>
      <c r="O224" s="35" t="n"/>
    </row>
    <row r="225">
      <c r="A225" s="35" t="n"/>
      <c r="B225" s="46" t="n"/>
      <c r="C225" s="35" t="n"/>
      <c r="D225" s="35" t="n"/>
      <c r="E225" s="47" t="n"/>
      <c r="F225" s="38" t="n"/>
      <c r="G225" s="37" t="n"/>
      <c r="H225" s="48" t="n"/>
      <c r="I225" s="38" t="n"/>
      <c r="J225" s="39" t="n"/>
      <c r="K225" s="39" t="n"/>
      <c r="L225" s="39" t="n"/>
      <c r="M225" s="39" t="n"/>
      <c r="N225" s="47" t="n"/>
      <c r="O225" s="35" t="n"/>
    </row>
    <row r="226">
      <c r="A226" s="35" t="n"/>
      <c r="B226" s="46" t="n"/>
      <c r="C226" s="35" t="n"/>
      <c r="D226" s="35" t="n"/>
      <c r="E226" s="47" t="n"/>
      <c r="F226" s="38" t="n"/>
      <c r="G226" s="37" t="n"/>
      <c r="H226" s="48" t="n"/>
      <c r="I226" s="38" t="n"/>
      <c r="J226" s="39" t="n"/>
      <c r="K226" s="39" t="n"/>
      <c r="L226" s="39" t="n"/>
      <c r="M226" s="39" t="n"/>
      <c r="N226" s="47" t="n"/>
      <c r="O226" s="35" t="n"/>
    </row>
    <row r="227">
      <c r="A227" s="35" t="n"/>
      <c r="B227" s="46" t="n"/>
      <c r="C227" s="35" t="n"/>
      <c r="D227" s="35" t="n"/>
      <c r="E227" s="47" t="n"/>
      <c r="F227" s="38" t="n"/>
      <c r="G227" s="37" t="n"/>
      <c r="H227" s="48" t="n"/>
      <c r="I227" s="38" t="n"/>
      <c r="J227" s="39" t="n"/>
      <c r="K227" s="39" t="n"/>
      <c r="L227" s="39" t="n"/>
      <c r="M227" s="39" t="n"/>
      <c r="N227" s="47" t="n"/>
      <c r="O227" s="35" t="n"/>
    </row>
    <row r="228">
      <c r="A228" s="35" t="n"/>
      <c r="B228" s="46" t="n"/>
      <c r="C228" s="35" t="n"/>
      <c r="D228" s="35" t="n"/>
      <c r="E228" s="47" t="n"/>
      <c r="F228" s="38" t="n"/>
      <c r="G228" s="37" t="n"/>
      <c r="H228" s="48" t="n"/>
      <c r="I228" s="38" t="n"/>
      <c r="J228" s="39" t="n"/>
      <c r="K228" s="39" t="n"/>
      <c r="L228" s="39" t="n"/>
      <c r="M228" s="39" t="n"/>
      <c r="N228" s="47" t="n"/>
      <c r="O228" s="35" t="n"/>
    </row>
    <row r="229">
      <c r="A229" s="35" t="n"/>
      <c r="B229" s="46" t="n"/>
      <c r="C229" s="35" t="n"/>
      <c r="D229" s="35" t="n"/>
      <c r="E229" s="47" t="n"/>
      <c r="F229" s="38" t="n"/>
      <c r="G229" s="37" t="n"/>
      <c r="H229" s="48" t="n"/>
      <c r="I229" s="38" t="n"/>
      <c r="J229" s="39" t="n"/>
      <c r="K229" s="39" t="n"/>
      <c r="L229" s="39" t="n"/>
      <c r="M229" s="39" t="n"/>
      <c r="N229" s="47" t="n"/>
      <c r="O229" s="35" t="n"/>
    </row>
    <row r="230">
      <c r="A230" s="35" t="n"/>
      <c r="B230" s="46" t="n"/>
      <c r="C230" s="35" t="n"/>
      <c r="D230" s="35" t="n"/>
      <c r="E230" s="47" t="n"/>
      <c r="F230" s="38" t="n"/>
      <c r="G230" s="37" t="n"/>
      <c r="H230" s="48" t="n"/>
      <c r="I230" s="38" t="n"/>
      <c r="J230" s="39" t="n"/>
      <c r="K230" s="39" t="n"/>
      <c r="L230" s="39" t="n"/>
      <c r="M230" s="39" t="n"/>
      <c r="N230" s="47" t="n"/>
      <c r="O230" s="35" t="n"/>
    </row>
    <row r="231">
      <c r="A231" s="35" t="n"/>
      <c r="B231" s="46" t="n"/>
      <c r="C231" s="35" t="n"/>
      <c r="D231" s="35" t="n"/>
      <c r="E231" s="47" t="n"/>
      <c r="F231" s="38" t="n"/>
      <c r="G231" s="37" t="n"/>
      <c r="H231" s="48" t="n"/>
      <c r="I231" s="38" t="n"/>
      <c r="J231" s="39" t="n"/>
      <c r="K231" s="39" t="n"/>
      <c r="L231" s="39" t="n"/>
      <c r="M231" s="39" t="n"/>
      <c r="N231" s="47" t="n"/>
      <c r="O231" s="35" t="n"/>
    </row>
    <row r="232">
      <c r="A232" s="35" t="n"/>
      <c r="B232" s="46" t="n"/>
      <c r="C232" s="35" t="n"/>
      <c r="D232" s="35" t="n"/>
      <c r="E232" s="47" t="n"/>
      <c r="F232" s="38" t="n"/>
      <c r="G232" s="37" t="n"/>
      <c r="H232" s="48" t="n"/>
      <c r="I232" s="38" t="n"/>
      <c r="J232" s="39" t="n"/>
      <c r="K232" s="39" t="n"/>
      <c r="L232" s="39" t="n"/>
      <c r="M232" s="39" t="n"/>
      <c r="N232" s="47" t="n"/>
      <c r="O232" s="35" t="n"/>
    </row>
    <row r="233">
      <c r="A233" s="35" t="n"/>
      <c r="B233" s="46" t="n"/>
      <c r="C233" s="35" t="n"/>
      <c r="D233" s="35" t="n"/>
      <c r="E233" s="47" t="n"/>
      <c r="F233" s="38" t="n"/>
      <c r="G233" s="37" t="n"/>
      <c r="H233" s="48" t="n"/>
      <c r="I233" s="38" t="n"/>
      <c r="J233" s="39" t="n"/>
      <c r="K233" s="39" t="n"/>
      <c r="L233" s="39" t="n"/>
      <c r="M233" s="39" t="n"/>
      <c r="N233" s="47" t="n"/>
      <c r="O233" s="35" t="n"/>
    </row>
    <row r="234">
      <c r="A234" s="35" t="n"/>
      <c r="B234" s="46" t="n"/>
      <c r="C234" s="35" t="n"/>
      <c r="D234" s="35" t="n"/>
      <c r="E234" s="47" t="n"/>
      <c r="F234" s="38" t="n"/>
      <c r="G234" s="37" t="n"/>
      <c r="H234" s="48" t="n"/>
      <c r="I234" s="38" t="n"/>
      <c r="J234" s="39" t="n"/>
      <c r="K234" s="39" t="n"/>
      <c r="L234" s="39" t="n"/>
      <c r="M234" s="39" t="n"/>
      <c r="N234" s="47" t="n"/>
      <c r="O234" s="35" t="n"/>
    </row>
    <row r="235">
      <c r="A235" s="35" t="n"/>
      <c r="B235" s="46" t="n"/>
      <c r="C235" s="35" t="n"/>
      <c r="D235" s="35" t="n"/>
      <c r="E235" s="47" t="n"/>
      <c r="F235" s="38" t="n"/>
      <c r="G235" s="37" t="n"/>
      <c r="H235" s="48" t="n"/>
      <c r="I235" s="38" t="n"/>
      <c r="J235" s="39" t="n"/>
      <c r="K235" s="39" t="n"/>
      <c r="L235" s="39" t="n"/>
      <c r="M235" s="39" t="n"/>
      <c r="N235" s="47" t="n"/>
      <c r="O235" s="35" t="n"/>
    </row>
    <row r="236">
      <c r="A236" s="35" t="n"/>
      <c r="B236" s="46" t="n"/>
      <c r="C236" s="35" t="n"/>
      <c r="D236" s="35" t="n"/>
      <c r="E236" s="47" t="n"/>
      <c r="F236" s="38" t="n"/>
      <c r="G236" s="37" t="n"/>
      <c r="H236" s="48" t="n"/>
      <c r="I236" s="38" t="n"/>
      <c r="J236" s="39" t="n"/>
      <c r="K236" s="39" t="n"/>
      <c r="L236" s="39" t="n"/>
      <c r="M236" s="39" t="n"/>
      <c r="N236" s="47" t="n"/>
      <c r="O236" s="35" t="n"/>
    </row>
    <row r="237">
      <c r="A237" s="35" t="n"/>
      <c r="B237" s="46" t="n"/>
      <c r="C237" s="35" t="n"/>
      <c r="D237" s="35" t="n"/>
      <c r="E237" s="47" t="n"/>
      <c r="F237" s="38" t="n"/>
      <c r="G237" s="37" t="n"/>
      <c r="H237" s="48" t="n"/>
      <c r="I237" s="38" t="n"/>
      <c r="J237" s="39" t="n"/>
      <c r="K237" s="39" t="n"/>
      <c r="L237" s="39" t="n"/>
      <c r="M237" s="39" t="n"/>
      <c r="N237" s="47" t="n"/>
      <c r="O237" s="35" t="n"/>
    </row>
    <row r="238">
      <c r="A238" s="35" t="n"/>
      <c r="B238" s="46" t="n"/>
      <c r="C238" s="35" t="n"/>
      <c r="D238" s="35" t="n"/>
      <c r="E238" s="47" t="n"/>
      <c r="F238" s="38" t="n"/>
      <c r="G238" s="37" t="n"/>
      <c r="H238" s="48" t="n"/>
      <c r="I238" s="38" t="n"/>
      <c r="J238" s="39" t="n"/>
      <c r="K238" s="39" t="n"/>
      <c r="L238" s="39" t="n"/>
      <c r="M238" s="39" t="n"/>
      <c r="N238" s="47" t="n"/>
      <c r="O238" s="35" t="n"/>
    </row>
    <row r="239">
      <c r="A239" s="35" t="n"/>
      <c r="B239" s="46" t="n"/>
      <c r="C239" s="35" t="n"/>
      <c r="D239" s="35" t="n"/>
      <c r="E239" s="47" t="n"/>
      <c r="F239" s="38" t="n"/>
      <c r="G239" s="37" t="n"/>
      <c r="H239" s="48" t="n"/>
      <c r="I239" s="38" t="n"/>
      <c r="J239" s="39" t="n"/>
      <c r="K239" s="39" t="n"/>
      <c r="L239" s="39" t="n"/>
      <c r="M239" s="39" t="n"/>
      <c r="N239" s="47" t="n"/>
      <c r="O239" s="35" t="n"/>
    </row>
    <row r="240">
      <c r="A240" s="35" t="n"/>
      <c r="B240" s="46" t="n"/>
      <c r="C240" s="35" t="n"/>
      <c r="D240" s="35" t="n"/>
      <c r="E240" s="47" t="n"/>
      <c r="F240" s="38" t="n"/>
      <c r="G240" s="37" t="n"/>
      <c r="H240" s="48" t="n"/>
      <c r="I240" s="38" t="n"/>
      <c r="J240" s="39" t="n"/>
      <c r="K240" s="39" t="n"/>
      <c r="L240" s="39" t="n"/>
      <c r="M240" s="39" t="n"/>
      <c r="N240" s="47" t="n"/>
      <c r="O240" s="35" t="n"/>
    </row>
    <row r="241">
      <c r="A241" s="35" t="n"/>
      <c r="B241" s="46" t="n"/>
      <c r="C241" s="35" t="n"/>
      <c r="D241" s="35" t="n"/>
      <c r="E241" s="47" t="n"/>
      <c r="F241" s="38" t="n"/>
      <c r="G241" s="37" t="n"/>
      <c r="H241" s="48" t="n"/>
      <c r="I241" s="38" t="n"/>
      <c r="J241" s="39" t="n"/>
      <c r="K241" s="39" t="n"/>
      <c r="L241" s="39" t="n"/>
      <c r="M241" s="39" t="n"/>
      <c r="N241" s="47" t="n"/>
      <c r="O241" s="35" t="n"/>
    </row>
    <row r="242">
      <c r="A242" s="35" t="n"/>
      <c r="B242" s="46" t="n"/>
      <c r="C242" s="35" t="n"/>
      <c r="D242" s="35" t="n"/>
      <c r="E242" s="47" t="n"/>
      <c r="F242" s="38" t="n"/>
      <c r="G242" s="37" t="n"/>
      <c r="H242" s="48" t="n"/>
      <c r="I242" s="38" t="n"/>
      <c r="J242" s="39" t="n"/>
      <c r="K242" s="39" t="n"/>
      <c r="L242" s="39" t="n"/>
      <c r="M242" s="39" t="n"/>
      <c r="N242" s="47" t="n"/>
      <c r="O242" s="35" t="n"/>
    </row>
    <row r="243">
      <c r="A243" s="35" t="n"/>
      <c r="B243" s="46" t="n"/>
      <c r="C243" s="35" t="n"/>
      <c r="D243" s="35" t="n"/>
      <c r="E243" s="47" t="n"/>
      <c r="F243" s="38" t="n"/>
      <c r="G243" s="37" t="n"/>
      <c r="H243" s="48" t="n"/>
      <c r="I243" s="38" t="n"/>
      <c r="J243" s="39" t="n"/>
      <c r="K243" s="39" t="n"/>
      <c r="L243" s="39" t="n"/>
      <c r="M243" s="39" t="n"/>
      <c r="N243" s="47" t="n"/>
      <c r="O243" s="35" t="n"/>
    </row>
    <row r="244">
      <c r="A244" s="35" t="n"/>
      <c r="B244" s="46" t="n"/>
      <c r="C244" s="35" t="n"/>
      <c r="D244" s="35" t="n"/>
      <c r="E244" s="47" t="n"/>
      <c r="F244" s="38" t="n"/>
      <c r="G244" s="37" t="n"/>
      <c r="H244" s="48" t="n"/>
      <c r="I244" s="38" t="n"/>
      <c r="J244" s="39" t="n"/>
      <c r="K244" s="39" t="n"/>
      <c r="L244" s="39" t="n"/>
      <c r="M244" s="39" t="n"/>
      <c r="N244" s="47" t="n"/>
      <c r="O244" s="35" t="n"/>
    </row>
    <row r="245">
      <c r="A245" s="35" t="n"/>
      <c r="B245" s="46" t="n"/>
      <c r="C245" s="35" t="n"/>
      <c r="D245" s="35" t="n"/>
      <c r="E245" s="47" t="n"/>
      <c r="F245" s="38" t="n"/>
      <c r="G245" s="37" t="n"/>
      <c r="H245" s="48" t="n"/>
      <c r="I245" s="38" t="n"/>
      <c r="J245" s="39" t="n"/>
      <c r="K245" s="39" t="n"/>
      <c r="L245" s="39" t="n"/>
      <c r="M245" s="39" t="n"/>
      <c r="N245" s="47" t="n"/>
      <c r="O245" s="35" t="n"/>
    </row>
    <row r="246">
      <c r="A246" s="35" t="n"/>
      <c r="B246" s="46" t="n"/>
      <c r="C246" s="35" t="n"/>
      <c r="D246" s="35" t="n"/>
      <c r="E246" s="47" t="n"/>
      <c r="F246" s="38" t="n"/>
      <c r="G246" s="37" t="n"/>
      <c r="H246" s="48" t="n"/>
      <c r="I246" s="38" t="n"/>
      <c r="J246" s="39" t="n"/>
      <c r="K246" s="39" t="n"/>
      <c r="L246" s="39" t="n"/>
      <c r="M246" s="39" t="n"/>
      <c r="N246" s="47" t="n"/>
      <c r="O246" s="35" t="n"/>
    </row>
    <row r="247">
      <c r="A247" s="35" t="n"/>
      <c r="B247" s="46" t="n"/>
      <c r="C247" s="35" t="n"/>
      <c r="D247" s="35" t="n"/>
      <c r="E247" s="47" t="n"/>
      <c r="F247" s="38" t="n"/>
      <c r="G247" s="37" t="n"/>
      <c r="H247" s="48" t="n"/>
      <c r="I247" s="38" t="n"/>
      <c r="J247" s="39" t="n"/>
      <c r="K247" s="39" t="n"/>
      <c r="L247" s="39" t="n"/>
      <c r="M247" s="39" t="n"/>
      <c r="N247" s="47" t="n"/>
      <c r="O247" s="35" t="n"/>
    </row>
    <row r="248">
      <c r="A248" s="35" t="n"/>
      <c r="B248" s="46" t="n"/>
      <c r="C248" s="35" t="n"/>
      <c r="D248" s="35" t="n"/>
      <c r="E248" s="47" t="n"/>
      <c r="F248" s="38" t="n"/>
      <c r="G248" s="37" t="n"/>
      <c r="H248" s="48" t="n"/>
      <c r="I248" s="38" t="n"/>
      <c r="J248" s="39" t="n"/>
      <c r="K248" s="39" t="n"/>
      <c r="L248" s="39" t="n"/>
      <c r="M248" s="39" t="n"/>
      <c r="N248" s="47" t="n"/>
      <c r="O248" s="35" t="n"/>
    </row>
    <row r="249">
      <c r="A249" s="35" t="n"/>
      <c r="B249" s="46" t="n"/>
      <c r="C249" s="35" t="n"/>
      <c r="D249" s="35" t="n"/>
      <c r="E249" s="47" t="n"/>
      <c r="F249" s="38" t="n"/>
      <c r="G249" s="37" t="n"/>
      <c r="H249" s="48" t="n"/>
      <c r="I249" s="38" t="n"/>
      <c r="J249" s="39" t="n"/>
      <c r="K249" s="39" t="n"/>
      <c r="L249" s="39" t="n"/>
      <c r="M249" s="39" t="n"/>
      <c r="N249" s="47" t="n"/>
      <c r="O249" s="35" t="n"/>
    </row>
    <row r="250">
      <c r="A250" s="35" t="n"/>
      <c r="B250" s="46" t="n"/>
      <c r="C250" s="35" t="n"/>
      <c r="D250" s="35" t="n"/>
      <c r="E250" s="47" t="n"/>
      <c r="F250" s="38" t="n"/>
      <c r="G250" s="37" t="n"/>
      <c r="H250" s="48" t="n"/>
      <c r="I250" s="38" t="n"/>
      <c r="J250" s="39" t="n"/>
      <c r="K250" s="39" t="n"/>
      <c r="L250" s="39" t="n"/>
      <c r="M250" s="39" t="n"/>
      <c r="N250" s="47" t="n"/>
      <c r="O250" s="35" t="n"/>
    </row>
    <row r="251">
      <c r="A251" s="35" t="n"/>
      <c r="B251" s="46" t="n"/>
      <c r="C251" s="35" t="n"/>
      <c r="D251" s="35" t="n"/>
      <c r="E251" s="47" t="n"/>
      <c r="F251" s="38" t="n"/>
      <c r="G251" s="37" t="n"/>
      <c r="H251" s="48" t="n"/>
      <c r="I251" s="38" t="n"/>
      <c r="J251" s="39" t="n"/>
      <c r="K251" s="39" t="n"/>
      <c r="L251" s="39" t="n"/>
      <c r="M251" s="39" t="n"/>
      <c r="N251" s="47" t="n"/>
      <c r="O251" s="35" t="n"/>
    </row>
    <row r="252">
      <c r="A252" s="35" t="n"/>
      <c r="B252" s="46" t="n"/>
      <c r="C252" s="35" t="n"/>
      <c r="D252" s="35" t="n"/>
      <c r="E252" s="47" t="n"/>
      <c r="F252" s="38" t="n"/>
      <c r="G252" s="37" t="n"/>
      <c r="H252" s="48" t="n"/>
      <c r="I252" s="38" t="n"/>
      <c r="J252" s="39" t="n"/>
      <c r="K252" s="39" t="n"/>
      <c r="L252" s="39" t="n"/>
      <c r="M252" s="39" t="n"/>
      <c r="N252" s="47" t="n"/>
      <c r="O252" s="35" t="n"/>
    </row>
    <row r="253">
      <c r="A253" s="35" t="n"/>
      <c r="B253" s="46" t="n"/>
      <c r="C253" s="35" t="n"/>
      <c r="D253" s="35" t="n"/>
      <c r="E253" s="47" t="n"/>
      <c r="F253" s="38" t="n"/>
      <c r="G253" s="37" t="n"/>
      <c r="H253" s="48" t="n"/>
      <c r="I253" s="38" t="n"/>
      <c r="J253" s="39" t="n"/>
      <c r="K253" s="39" t="n"/>
      <c r="L253" s="39" t="n"/>
      <c r="M253" s="39" t="n"/>
      <c r="N253" s="47" t="n"/>
      <c r="O253" s="35" t="n"/>
    </row>
    <row r="254">
      <c r="A254" s="35" t="n"/>
      <c r="B254" s="46" t="n"/>
      <c r="C254" s="35" t="n"/>
      <c r="D254" s="35" t="n"/>
      <c r="E254" s="47" t="n"/>
      <c r="F254" s="38" t="n"/>
      <c r="G254" s="37" t="n"/>
      <c r="H254" s="48" t="n"/>
      <c r="I254" s="38" t="n"/>
      <c r="J254" s="39" t="n"/>
      <c r="K254" s="39" t="n"/>
      <c r="L254" s="39" t="n"/>
      <c r="M254" s="39" t="n"/>
      <c r="N254" s="47" t="n"/>
      <c r="O254" s="35" t="n"/>
    </row>
    <row r="255">
      <c r="A255" s="35" t="n"/>
      <c r="B255" s="46" t="n"/>
      <c r="C255" s="35" t="n"/>
      <c r="D255" s="35" t="n"/>
      <c r="E255" s="47" t="n"/>
      <c r="F255" s="38" t="n"/>
      <c r="G255" s="37" t="n"/>
      <c r="H255" s="48" t="n"/>
      <c r="I255" s="38" t="n"/>
      <c r="J255" s="39" t="n"/>
      <c r="K255" s="39" t="n"/>
      <c r="L255" s="39" t="n"/>
      <c r="M255" s="39" t="n"/>
      <c r="N255" s="47" t="n"/>
      <c r="O255" s="35" t="n"/>
    </row>
    <row r="256">
      <c r="A256" s="35" t="n"/>
      <c r="B256" s="46" t="n"/>
      <c r="C256" s="35" t="n"/>
      <c r="D256" s="35" t="n"/>
      <c r="E256" s="47" t="n"/>
      <c r="F256" s="38" t="n"/>
      <c r="G256" s="37" t="n"/>
      <c r="H256" s="48" t="n"/>
      <c r="I256" s="38" t="n"/>
      <c r="J256" s="39" t="n"/>
      <c r="K256" s="39" t="n"/>
      <c r="L256" s="39" t="n"/>
      <c r="M256" s="39" t="n"/>
      <c r="N256" s="47" t="n"/>
      <c r="O256" s="35" t="n"/>
    </row>
    <row r="257">
      <c r="A257" s="35" t="n"/>
      <c r="B257" s="46" t="n"/>
      <c r="C257" s="35" t="n"/>
      <c r="D257" s="35" t="n"/>
      <c r="E257" s="47" t="n"/>
      <c r="F257" s="38" t="n"/>
      <c r="G257" s="37" t="n"/>
      <c r="H257" s="48" t="n"/>
      <c r="I257" s="38" t="n"/>
      <c r="J257" s="39" t="n"/>
      <c r="K257" s="39" t="n"/>
      <c r="L257" s="39" t="n"/>
      <c r="M257" s="39" t="n"/>
      <c r="N257" s="47" t="n"/>
      <c r="O257" s="35" t="n"/>
    </row>
    <row r="258">
      <c r="A258" s="35" t="n"/>
      <c r="B258" s="46" t="n"/>
      <c r="C258" s="35" t="n"/>
      <c r="D258" s="35" t="n"/>
      <c r="E258" s="47" t="n"/>
      <c r="F258" s="38" t="n"/>
      <c r="G258" s="37" t="n"/>
      <c r="H258" s="48" t="n"/>
      <c r="I258" s="38" t="n"/>
      <c r="J258" s="39" t="n"/>
      <c r="K258" s="39" t="n"/>
      <c r="L258" s="39" t="n"/>
      <c r="M258" s="39" t="n"/>
      <c r="N258" s="47" t="n"/>
      <c r="O258" s="35" t="n"/>
    </row>
    <row r="259">
      <c r="A259" s="35" t="n"/>
      <c r="B259" s="46" t="n"/>
      <c r="C259" s="35" t="n"/>
      <c r="D259" s="35" t="n"/>
      <c r="E259" s="47" t="n"/>
      <c r="F259" s="38" t="n"/>
      <c r="G259" s="37" t="n"/>
      <c r="H259" s="48" t="n"/>
      <c r="I259" s="38" t="n"/>
      <c r="J259" s="39" t="n"/>
      <c r="K259" s="39" t="n"/>
      <c r="L259" s="39" t="n"/>
      <c r="M259" s="39" t="n"/>
      <c r="N259" s="47" t="n"/>
      <c r="O259" s="35" t="n"/>
    </row>
    <row r="260">
      <c r="A260" s="35" t="n"/>
      <c r="B260" s="46" t="n"/>
      <c r="C260" s="35" t="n"/>
      <c r="D260" s="35" t="n"/>
      <c r="E260" s="47" t="n"/>
      <c r="F260" s="38" t="n"/>
      <c r="G260" s="37" t="n"/>
      <c r="H260" s="48" t="n"/>
      <c r="I260" s="38" t="n"/>
      <c r="J260" s="39" t="n"/>
      <c r="K260" s="39" t="n"/>
      <c r="L260" s="39" t="n"/>
      <c r="M260" s="39" t="n"/>
      <c r="N260" s="47" t="n"/>
      <c r="O260" s="35" t="n"/>
    </row>
    <row r="261">
      <c r="A261" s="35" t="n"/>
      <c r="B261" s="46" t="n"/>
      <c r="C261" s="35" t="n"/>
      <c r="D261" s="35" t="n"/>
      <c r="E261" s="47" t="n"/>
      <c r="F261" s="38" t="n"/>
      <c r="G261" s="37" t="n"/>
      <c r="H261" s="48" t="n"/>
      <c r="I261" s="38" t="n"/>
      <c r="J261" s="39" t="n"/>
      <c r="K261" s="39" t="n"/>
      <c r="L261" s="39" t="n"/>
      <c r="M261" s="39" t="n"/>
      <c r="N261" s="47" t="n"/>
      <c r="O261" s="35" t="n"/>
    </row>
    <row r="262">
      <c r="A262" s="35" t="n"/>
      <c r="B262" s="46" t="n"/>
      <c r="C262" s="35" t="n"/>
      <c r="D262" s="35" t="n"/>
      <c r="E262" s="47" t="n"/>
      <c r="F262" s="38" t="n"/>
      <c r="G262" s="37" t="n"/>
      <c r="H262" s="48" t="n"/>
      <c r="I262" s="38" t="n"/>
      <c r="J262" s="39" t="n"/>
      <c r="K262" s="39" t="n"/>
      <c r="L262" s="39" t="n"/>
      <c r="M262" s="39" t="n"/>
      <c r="N262" s="47" t="n"/>
      <c r="O262" s="35" t="n"/>
    </row>
    <row r="263">
      <c r="A263" s="35" t="n"/>
      <c r="B263" s="46" t="n"/>
      <c r="C263" s="35" t="n"/>
      <c r="D263" s="35" t="n"/>
      <c r="E263" s="47" t="n"/>
      <c r="F263" s="38" t="n"/>
      <c r="G263" s="37" t="n"/>
      <c r="H263" s="48" t="n"/>
      <c r="I263" s="38" t="n"/>
      <c r="J263" s="39" t="n"/>
      <c r="K263" s="39" t="n"/>
      <c r="L263" s="39" t="n"/>
      <c r="M263" s="39" t="n"/>
      <c r="N263" s="47" t="n"/>
      <c r="O263" s="35" t="n"/>
    </row>
    <row r="264">
      <c r="A264" s="35" t="n"/>
      <c r="B264" s="46" t="n"/>
      <c r="C264" s="35" t="n"/>
      <c r="D264" s="35" t="n"/>
      <c r="E264" s="47" t="n"/>
      <c r="F264" s="38" t="n"/>
      <c r="G264" s="37" t="n"/>
      <c r="H264" s="48" t="n"/>
      <c r="I264" s="38" t="n"/>
      <c r="J264" s="39" t="n"/>
      <c r="K264" s="39" t="n"/>
      <c r="L264" s="39" t="n"/>
      <c r="M264" s="39" t="n"/>
      <c r="N264" s="47" t="n"/>
      <c r="O264" s="35" t="n"/>
    </row>
    <row r="265">
      <c r="A265" s="35" t="n"/>
      <c r="B265" s="46" t="n"/>
      <c r="C265" s="35" t="n"/>
      <c r="D265" s="35" t="n"/>
      <c r="E265" s="47" t="n"/>
      <c r="F265" s="38" t="n"/>
      <c r="G265" s="37" t="n"/>
      <c r="H265" s="48" t="n"/>
      <c r="I265" s="38" t="n"/>
      <c r="J265" s="39" t="n"/>
      <c r="K265" s="39" t="n"/>
      <c r="L265" s="39" t="n"/>
      <c r="M265" s="39" t="n"/>
      <c r="N265" s="47" t="n"/>
      <c r="O265" s="35" t="n"/>
    </row>
    <row r="266">
      <c r="A266" s="35" t="n"/>
      <c r="B266" s="46" t="n"/>
      <c r="C266" s="35" t="n"/>
      <c r="D266" s="35" t="n"/>
      <c r="E266" s="47" t="n"/>
      <c r="F266" s="38" t="n"/>
      <c r="G266" s="37" t="n"/>
      <c r="H266" s="48" t="n"/>
      <c r="I266" s="38" t="n"/>
      <c r="J266" s="39" t="n"/>
      <c r="K266" s="39" t="n"/>
      <c r="L266" s="39" t="n"/>
      <c r="M266" s="39" t="n"/>
      <c r="N266" s="47" t="n"/>
      <c r="O266" s="35" t="n"/>
    </row>
    <row r="267">
      <c r="A267" s="35" t="n"/>
      <c r="B267" s="46" t="n"/>
      <c r="C267" s="35" t="n"/>
      <c r="D267" s="35" t="n"/>
      <c r="E267" s="47" t="n"/>
      <c r="F267" s="38" t="n"/>
      <c r="G267" s="37" t="n"/>
      <c r="H267" s="48" t="n"/>
      <c r="I267" s="38" t="n"/>
      <c r="J267" s="39" t="n"/>
      <c r="K267" s="39" t="n"/>
      <c r="L267" s="39" t="n"/>
      <c r="M267" s="39" t="n"/>
      <c r="N267" s="47" t="n"/>
      <c r="O267" s="35" t="n"/>
    </row>
    <row r="268">
      <c r="A268" s="35" t="n"/>
      <c r="B268" s="46" t="n"/>
      <c r="C268" s="35" t="n"/>
      <c r="D268" s="35" t="n"/>
      <c r="E268" s="47" t="n"/>
      <c r="F268" s="38" t="n"/>
      <c r="G268" s="37" t="n"/>
      <c r="H268" s="48" t="n"/>
      <c r="I268" s="38" t="n"/>
      <c r="J268" s="39" t="n"/>
      <c r="K268" s="39" t="n"/>
      <c r="L268" s="39" t="n"/>
      <c r="M268" s="39" t="n"/>
      <c r="N268" s="47" t="n"/>
      <c r="O268" s="35" t="n"/>
    </row>
    <row r="269">
      <c r="A269" s="35" t="n"/>
      <c r="B269" s="46" t="n"/>
      <c r="C269" s="35" t="n"/>
      <c r="D269" s="35" t="n"/>
      <c r="E269" s="47" t="n"/>
      <c r="F269" s="38" t="n"/>
      <c r="G269" s="37" t="n"/>
      <c r="H269" s="48" t="n"/>
      <c r="I269" s="38" t="n"/>
      <c r="J269" s="39" t="n"/>
      <c r="K269" s="39" t="n"/>
      <c r="L269" s="39" t="n"/>
      <c r="M269" s="39" t="n"/>
      <c r="N269" s="47" t="n"/>
      <c r="O269" s="35" t="n"/>
    </row>
    <row r="270">
      <c r="A270" s="35" t="n"/>
      <c r="B270" s="46" t="n"/>
      <c r="C270" s="35" t="n"/>
      <c r="D270" s="35" t="n"/>
      <c r="E270" s="47" t="n"/>
      <c r="F270" s="38" t="n"/>
      <c r="G270" s="37" t="n"/>
      <c r="H270" s="48" t="n"/>
      <c r="I270" s="38" t="n"/>
      <c r="J270" s="39" t="n"/>
      <c r="K270" s="39" t="n"/>
      <c r="L270" s="39" t="n"/>
      <c r="M270" s="39" t="n"/>
      <c r="N270" s="47" t="n"/>
      <c r="O270" s="35" t="n"/>
    </row>
    <row r="271">
      <c r="A271" s="35" t="n"/>
      <c r="B271" s="46" t="n"/>
      <c r="C271" s="35" t="n"/>
      <c r="D271" s="35" t="n"/>
      <c r="E271" s="47" t="n"/>
      <c r="F271" s="38" t="n"/>
      <c r="G271" s="37" t="n"/>
      <c r="H271" s="48" t="n"/>
      <c r="I271" s="38" t="n"/>
      <c r="J271" s="39" t="n"/>
      <c r="K271" s="39" t="n"/>
      <c r="L271" s="39" t="n"/>
      <c r="M271" s="39" t="n"/>
      <c r="N271" s="47" t="n"/>
      <c r="O271" s="35" t="n"/>
    </row>
    <row r="272">
      <c r="A272" s="35" t="n"/>
      <c r="B272" s="46" t="n"/>
      <c r="C272" s="35" t="n"/>
      <c r="D272" s="35" t="n"/>
      <c r="E272" s="47" t="n"/>
      <c r="F272" s="38" t="n"/>
      <c r="G272" s="37" t="n"/>
      <c r="H272" s="48" t="n"/>
      <c r="I272" s="38" t="n"/>
      <c r="J272" s="39" t="n"/>
      <c r="K272" s="39" t="n"/>
      <c r="L272" s="39" t="n"/>
      <c r="M272" s="39" t="n"/>
      <c r="N272" s="47" t="n"/>
      <c r="O272" s="35" t="n"/>
    </row>
    <row r="273">
      <c r="A273" s="35" t="n"/>
      <c r="B273" s="46" t="n"/>
      <c r="C273" s="35" t="n"/>
      <c r="D273" s="35" t="n"/>
      <c r="E273" s="47" t="n"/>
      <c r="F273" s="38" t="n"/>
      <c r="G273" s="37" t="n"/>
      <c r="H273" s="48" t="n"/>
      <c r="I273" s="38" t="n"/>
      <c r="J273" s="39" t="n"/>
      <c r="K273" s="39" t="n"/>
      <c r="L273" s="39" t="n"/>
      <c r="M273" s="39" t="n"/>
      <c r="N273" s="47" t="n"/>
      <c r="O273" s="35" t="n"/>
    </row>
    <row r="274">
      <c r="A274" s="35" t="n"/>
      <c r="B274" s="46" t="n"/>
      <c r="C274" s="35" t="n"/>
      <c r="D274" s="35" t="n"/>
      <c r="E274" s="47" t="n"/>
      <c r="F274" s="38" t="n"/>
      <c r="G274" s="37" t="n"/>
      <c r="H274" s="48" t="n"/>
      <c r="I274" s="38" t="n"/>
      <c r="J274" s="39" t="n"/>
      <c r="K274" s="39" t="n"/>
      <c r="L274" s="39" t="n"/>
      <c r="M274" s="39" t="n"/>
      <c r="N274" s="47" t="n"/>
      <c r="O274" s="35" t="n"/>
    </row>
    <row r="275">
      <c r="A275" s="35" t="n"/>
      <c r="B275" s="46" t="n"/>
      <c r="C275" s="35" t="n"/>
      <c r="D275" s="35" t="n"/>
      <c r="E275" s="47" t="n"/>
      <c r="F275" s="38" t="n"/>
      <c r="G275" s="37" t="n"/>
      <c r="H275" s="48" t="n"/>
      <c r="I275" s="38" t="n"/>
      <c r="J275" s="39" t="n"/>
      <c r="K275" s="39" t="n"/>
      <c r="L275" s="39" t="n"/>
      <c r="M275" s="39" t="n"/>
      <c r="N275" s="47" t="n"/>
      <c r="O275" s="35" t="n"/>
    </row>
    <row r="276">
      <c r="A276" s="35" t="n"/>
      <c r="B276" s="46" t="n"/>
      <c r="C276" s="35" t="n"/>
      <c r="D276" s="35" t="n"/>
      <c r="E276" s="47" t="n"/>
      <c r="F276" s="38" t="n"/>
      <c r="G276" s="37" t="n"/>
      <c r="H276" s="48" t="n"/>
      <c r="I276" s="38" t="n"/>
      <c r="J276" s="39" t="n"/>
      <c r="K276" s="39" t="n"/>
      <c r="L276" s="39" t="n"/>
      <c r="M276" s="39" t="n"/>
      <c r="N276" s="47" t="n"/>
      <c r="O276" s="35" t="n"/>
    </row>
    <row r="277">
      <c r="A277" s="35" t="n"/>
      <c r="B277" s="46" t="n"/>
      <c r="C277" s="35" t="n"/>
      <c r="D277" s="35" t="n"/>
      <c r="E277" s="47" t="n"/>
      <c r="F277" s="38" t="n"/>
      <c r="G277" s="37" t="n"/>
      <c r="H277" s="48" t="n"/>
      <c r="I277" s="38" t="n"/>
      <c r="J277" s="39" t="n"/>
      <c r="K277" s="39" t="n"/>
      <c r="L277" s="39" t="n"/>
      <c r="M277" s="39" t="n"/>
      <c r="N277" s="47" t="n"/>
      <c r="O277" s="35" t="n"/>
    </row>
    <row r="278">
      <c r="A278" s="35" t="n"/>
      <c r="B278" s="46" t="n"/>
      <c r="C278" s="35" t="n"/>
      <c r="D278" s="35" t="n"/>
      <c r="E278" s="47" t="n"/>
      <c r="F278" s="38" t="n"/>
      <c r="G278" s="37" t="n"/>
      <c r="H278" s="48" t="n"/>
      <c r="I278" s="38" t="n"/>
      <c r="J278" s="39" t="n"/>
      <c r="K278" s="39" t="n"/>
      <c r="L278" s="39" t="n"/>
      <c r="M278" s="39" t="n"/>
      <c r="N278" s="47" t="n"/>
      <c r="O278" s="35" t="n"/>
    </row>
    <row r="279">
      <c r="A279" s="35" t="n"/>
      <c r="B279" s="46" t="n"/>
      <c r="C279" s="35" t="n"/>
      <c r="D279" s="35" t="n"/>
      <c r="E279" s="47" t="n"/>
      <c r="F279" s="38" t="n"/>
      <c r="G279" s="37" t="n"/>
      <c r="H279" s="48" t="n"/>
      <c r="I279" s="38" t="n"/>
      <c r="J279" s="39" t="n"/>
      <c r="K279" s="39" t="n"/>
      <c r="L279" s="39" t="n"/>
      <c r="M279" s="39" t="n"/>
      <c r="N279" s="47" t="n"/>
      <c r="O279" s="35" t="n"/>
    </row>
    <row r="280">
      <c r="A280" s="35" t="n"/>
      <c r="B280" s="46" t="n"/>
      <c r="C280" s="35" t="n"/>
      <c r="D280" s="35" t="n"/>
      <c r="E280" s="47" t="n"/>
      <c r="F280" s="38" t="n"/>
      <c r="G280" s="37" t="n"/>
      <c r="H280" s="48" t="n"/>
      <c r="I280" s="38" t="n"/>
      <c r="J280" s="39" t="n"/>
      <c r="K280" s="39" t="n"/>
      <c r="L280" s="39" t="n"/>
      <c r="M280" s="39" t="n"/>
      <c r="N280" s="47" t="n"/>
      <c r="O280" s="35" t="n"/>
    </row>
    <row r="281">
      <c r="A281" s="35" t="n"/>
      <c r="B281" s="46" t="n"/>
      <c r="C281" s="35" t="n"/>
      <c r="D281" s="35" t="n"/>
      <c r="E281" s="47" t="n"/>
      <c r="F281" s="38" t="n"/>
      <c r="G281" s="37" t="n"/>
      <c r="H281" s="48" t="n"/>
      <c r="I281" s="38" t="n"/>
      <c r="J281" s="39" t="n"/>
      <c r="K281" s="39" t="n"/>
      <c r="L281" s="39" t="n"/>
      <c r="M281" s="39" t="n"/>
      <c r="N281" s="47" t="n"/>
      <c r="O281" s="35" t="n"/>
    </row>
    <row r="282">
      <c r="A282" s="35" t="n"/>
      <c r="B282" s="46" t="n"/>
      <c r="C282" s="35" t="n"/>
      <c r="D282" s="35" t="n"/>
      <c r="E282" s="47" t="n"/>
      <c r="F282" s="38" t="n"/>
      <c r="G282" s="37" t="n"/>
      <c r="H282" s="48" t="n"/>
      <c r="I282" s="38" t="n"/>
      <c r="J282" s="39" t="n"/>
      <c r="K282" s="39" t="n"/>
      <c r="L282" s="39" t="n"/>
      <c r="M282" s="39" t="n"/>
      <c r="N282" s="47" t="n"/>
      <c r="O282" s="35" t="n"/>
    </row>
    <row r="283">
      <c r="A283" s="35" t="n"/>
      <c r="B283" s="46" t="n"/>
      <c r="C283" s="35" t="n"/>
      <c r="D283" s="35" t="n"/>
      <c r="E283" s="47" t="n"/>
      <c r="F283" s="38" t="n"/>
      <c r="G283" s="37" t="n"/>
      <c r="H283" s="48" t="n"/>
      <c r="I283" s="38" t="n"/>
      <c r="J283" s="39" t="n"/>
      <c r="K283" s="39" t="n"/>
      <c r="L283" s="39" t="n"/>
      <c r="M283" s="39" t="n"/>
      <c r="N283" s="47" t="n"/>
      <c r="O283" s="35" t="n"/>
    </row>
    <row r="284">
      <c r="A284" s="35" t="n"/>
      <c r="B284" s="46" t="n"/>
      <c r="C284" s="35" t="n"/>
      <c r="D284" s="35" t="n"/>
      <c r="E284" s="47" t="n"/>
      <c r="F284" s="38" t="n"/>
      <c r="G284" s="37" t="n"/>
      <c r="H284" s="48" t="n"/>
      <c r="I284" s="38" t="n"/>
      <c r="J284" s="39" t="n"/>
      <c r="K284" s="39" t="n"/>
      <c r="L284" s="39" t="n"/>
      <c r="M284" s="39" t="n"/>
      <c r="N284" s="47" t="n"/>
      <c r="O284" s="35" t="n"/>
    </row>
    <row r="285">
      <c r="A285" s="35" t="n"/>
      <c r="B285" s="46" t="n"/>
      <c r="C285" s="35" t="n"/>
      <c r="D285" s="35" t="n"/>
      <c r="E285" s="47" t="n"/>
      <c r="F285" s="38" t="n"/>
      <c r="G285" s="37" t="n"/>
      <c r="H285" s="48" t="n"/>
      <c r="I285" s="38" t="n"/>
      <c r="J285" s="39" t="n"/>
      <c r="K285" s="39" t="n"/>
      <c r="L285" s="39" t="n"/>
      <c r="M285" s="39" t="n"/>
      <c r="N285" s="47" t="n"/>
      <c r="O285" s="35" t="n"/>
    </row>
    <row r="286">
      <c r="A286" s="35" t="n"/>
      <c r="B286" s="46" t="n"/>
      <c r="C286" s="35" t="n"/>
      <c r="D286" s="35" t="n"/>
      <c r="E286" s="47" t="n"/>
      <c r="F286" s="38" t="n"/>
      <c r="G286" s="37" t="n"/>
      <c r="H286" s="48" t="n"/>
      <c r="I286" s="38" t="n"/>
      <c r="J286" s="39" t="n"/>
      <c r="K286" s="39" t="n"/>
      <c r="L286" s="39" t="n"/>
      <c r="M286" s="39" t="n"/>
      <c r="N286" s="47" t="n"/>
      <c r="O286" s="35" t="n"/>
    </row>
    <row r="287">
      <c r="A287" s="35" t="n"/>
      <c r="B287" s="46" t="n"/>
      <c r="C287" s="35" t="n"/>
      <c r="D287" s="35" t="n"/>
      <c r="E287" s="47" t="n"/>
      <c r="F287" s="38" t="n"/>
      <c r="G287" s="37" t="n"/>
      <c r="H287" s="48" t="n"/>
      <c r="I287" s="38" t="n"/>
      <c r="J287" s="39" t="n"/>
      <c r="K287" s="39" t="n"/>
      <c r="L287" s="39" t="n"/>
      <c r="M287" s="39" t="n"/>
      <c r="N287" s="47" t="n"/>
      <c r="O287" s="35" t="n"/>
    </row>
    <row r="288">
      <c r="A288" s="35" t="n"/>
      <c r="B288" s="46" t="n"/>
      <c r="C288" s="35" t="n"/>
      <c r="D288" s="35" t="n"/>
      <c r="E288" s="47" t="n"/>
      <c r="F288" s="38" t="n"/>
      <c r="G288" s="37" t="n"/>
      <c r="H288" s="48" t="n"/>
      <c r="I288" s="38" t="n"/>
      <c r="J288" s="39" t="n"/>
      <c r="K288" s="39" t="n"/>
      <c r="L288" s="39" t="n"/>
      <c r="M288" s="39" t="n"/>
      <c r="N288" s="47" t="n"/>
      <c r="O288" s="35" t="n"/>
    </row>
    <row r="289">
      <c r="A289" s="35" t="n"/>
      <c r="B289" s="46" t="n"/>
      <c r="C289" s="35" t="n"/>
      <c r="D289" s="35" t="n"/>
      <c r="E289" s="47" t="n"/>
      <c r="F289" s="38" t="n"/>
      <c r="G289" s="37" t="n"/>
      <c r="H289" s="48" t="n"/>
      <c r="I289" s="38" t="n"/>
      <c r="J289" s="39" t="n"/>
      <c r="K289" s="39" t="n"/>
      <c r="L289" s="39" t="n"/>
      <c r="M289" s="39" t="n"/>
      <c r="N289" s="47" t="n"/>
      <c r="O289" s="35" t="n"/>
    </row>
    <row r="290">
      <c r="A290" s="35" t="n"/>
      <c r="B290" s="46" t="n"/>
      <c r="C290" s="35" t="n"/>
      <c r="D290" s="35" t="n"/>
      <c r="E290" s="47" t="n"/>
      <c r="F290" s="38" t="n"/>
      <c r="G290" s="37" t="n"/>
      <c r="H290" s="48" t="n"/>
      <c r="I290" s="38" t="n"/>
      <c r="J290" s="39" t="n"/>
      <c r="K290" s="39" t="n"/>
      <c r="L290" s="39" t="n"/>
      <c r="M290" s="39" t="n"/>
      <c r="N290" s="47" t="n"/>
      <c r="O290" s="35" t="n"/>
    </row>
    <row r="291">
      <c r="A291" s="35" t="n"/>
      <c r="B291" s="46" t="n"/>
      <c r="C291" s="35" t="n"/>
      <c r="D291" s="35" t="n"/>
      <c r="E291" s="47" t="n"/>
      <c r="F291" s="38" t="n"/>
      <c r="G291" s="37" t="n"/>
      <c r="H291" s="48" t="n"/>
      <c r="I291" s="38" t="n"/>
      <c r="J291" s="39" t="n"/>
      <c r="K291" s="39" t="n"/>
      <c r="L291" s="39" t="n"/>
      <c r="M291" s="39" t="n"/>
      <c r="N291" s="47" t="n"/>
      <c r="O291" s="35" t="n"/>
    </row>
    <row r="292">
      <c r="A292" s="35" t="n"/>
      <c r="B292" s="46" t="n"/>
      <c r="C292" s="35" t="n"/>
      <c r="D292" s="35" t="n"/>
      <c r="E292" s="47" t="n"/>
      <c r="F292" s="38" t="n"/>
      <c r="G292" s="37" t="n"/>
      <c r="H292" s="48" t="n"/>
      <c r="I292" s="38" t="n"/>
      <c r="J292" s="39" t="n"/>
      <c r="K292" s="39" t="n"/>
      <c r="L292" s="39" t="n"/>
      <c r="M292" s="39" t="n"/>
      <c r="N292" s="47" t="n"/>
      <c r="O292" s="35" t="n"/>
    </row>
    <row r="293">
      <c r="A293" s="35" t="n"/>
      <c r="B293" s="46" t="n"/>
      <c r="C293" s="35" t="n"/>
      <c r="D293" s="35" t="n"/>
      <c r="E293" s="47" t="n"/>
      <c r="F293" s="38" t="n"/>
      <c r="G293" s="37" t="n"/>
      <c r="H293" s="48" t="n"/>
      <c r="I293" s="38" t="n"/>
      <c r="J293" s="39" t="n"/>
      <c r="K293" s="39" t="n"/>
      <c r="L293" s="39" t="n"/>
      <c r="M293" s="39" t="n"/>
      <c r="N293" s="47" t="n"/>
      <c r="O293" s="35" t="n"/>
    </row>
    <row r="294">
      <c r="A294" s="35" t="n"/>
      <c r="B294" s="46" t="n"/>
      <c r="C294" s="35" t="n"/>
      <c r="D294" s="35" t="n"/>
      <c r="E294" s="47" t="n"/>
      <c r="F294" s="38" t="n"/>
      <c r="G294" s="37" t="n"/>
      <c r="H294" s="48" t="n"/>
      <c r="I294" s="38" t="n"/>
      <c r="J294" s="39" t="n"/>
      <c r="K294" s="39" t="n"/>
      <c r="L294" s="39" t="n"/>
      <c r="M294" s="39" t="n"/>
      <c r="N294" s="47" t="n"/>
      <c r="O294" s="35" t="n"/>
    </row>
    <row r="295">
      <c r="A295" s="35" t="n"/>
      <c r="B295" s="46" t="n"/>
      <c r="C295" s="35" t="n"/>
      <c r="D295" s="35" t="n"/>
      <c r="E295" s="47" t="n"/>
      <c r="F295" s="38" t="n"/>
      <c r="G295" s="37" t="n"/>
      <c r="H295" s="48" t="n"/>
      <c r="I295" s="38" t="n"/>
      <c r="J295" s="39" t="n"/>
      <c r="K295" s="39" t="n"/>
      <c r="L295" s="39" t="n"/>
      <c r="M295" s="39" t="n"/>
      <c r="N295" s="47" t="n"/>
      <c r="O295" s="35" t="n"/>
    </row>
    <row r="296">
      <c r="A296" s="35" t="n"/>
      <c r="B296" s="46" t="n"/>
      <c r="C296" s="35" t="n"/>
      <c r="D296" s="35" t="n"/>
      <c r="E296" s="47" t="n"/>
      <c r="F296" s="38" t="n"/>
      <c r="G296" s="37" t="n"/>
      <c r="H296" s="48" t="n"/>
      <c r="I296" s="38" t="n"/>
      <c r="J296" s="39" t="n"/>
      <c r="K296" s="39" t="n"/>
      <c r="L296" s="39" t="n"/>
      <c r="M296" s="39" t="n"/>
      <c r="N296" s="47" t="n"/>
      <c r="O296" s="35" t="n"/>
    </row>
    <row r="297">
      <c r="A297" s="35" t="n"/>
      <c r="B297" s="46" t="n"/>
      <c r="C297" s="35" t="n"/>
      <c r="D297" s="35" t="n"/>
      <c r="E297" s="47" t="n"/>
      <c r="F297" s="38" t="n"/>
      <c r="G297" s="37" t="n"/>
      <c r="H297" s="48" t="n"/>
      <c r="I297" s="38" t="n"/>
      <c r="J297" s="39" t="n"/>
      <c r="K297" s="39" t="n"/>
      <c r="L297" s="39" t="n"/>
      <c r="M297" s="39" t="n"/>
      <c r="N297" s="47" t="n"/>
      <c r="O297" s="35" t="n"/>
    </row>
    <row r="298">
      <c r="A298" s="35" t="n"/>
      <c r="B298" s="46" t="n"/>
      <c r="C298" s="35" t="n"/>
      <c r="D298" s="35" t="n"/>
      <c r="E298" s="47" t="n"/>
      <c r="F298" s="38" t="n"/>
      <c r="G298" s="37" t="n"/>
      <c r="H298" s="48" t="n"/>
      <c r="I298" s="38" t="n"/>
      <c r="J298" s="39" t="n"/>
      <c r="K298" s="39" t="n"/>
      <c r="L298" s="39" t="n"/>
      <c r="M298" s="39" t="n"/>
      <c r="N298" s="47" t="n"/>
      <c r="O298" s="35" t="n"/>
    </row>
    <row r="299">
      <c r="A299" s="35" t="n"/>
      <c r="B299" s="46" t="n"/>
      <c r="C299" s="35" t="n"/>
      <c r="D299" s="35" t="n"/>
      <c r="E299" s="47" t="n"/>
      <c r="F299" s="38" t="n"/>
      <c r="G299" s="37" t="n"/>
      <c r="H299" s="48" t="n"/>
      <c r="I299" s="38" t="n"/>
      <c r="J299" s="39" t="n"/>
      <c r="K299" s="39" t="n"/>
      <c r="L299" s="39" t="n"/>
      <c r="M299" s="39" t="n"/>
      <c r="N299" s="47" t="n"/>
      <c r="O299" s="35" t="n"/>
    </row>
    <row r="300">
      <c r="A300" s="35" t="n"/>
      <c r="B300" s="46" t="n"/>
      <c r="C300" s="35" t="n"/>
      <c r="D300" s="35" t="n"/>
      <c r="E300" s="47" t="n"/>
      <c r="F300" s="38" t="n"/>
      <c r="G300" s="37" t="n"/>
      <c r="H300" s="48" t="n"/>
      <c r="I300" s="38" t="n"/>
      <c r="J300" s="39" t="n"/>
      <c r="K300" s="39" t="n"/>
      <c r="L300" s="39" t="n"/>
      <c r="M300" s="39" t="n"/>
      <c r="N300" s="47" t="n"/>
      <c r="O300" s="35" t="n"/>
    </row>
    <row r="301">
      <c r="A301" s="35" t="n"/>
      <c r="B301" s="46" t="n"/>
      <c r="C301" s="35" t="n"/>
      <c r="D301" s="35" t="n"/>
      <c r="E301" s="47" t="n"/>
      <c r="F301" s="38" t="n"/>
      <c r="G301" s="37" t="n"/>
      <c r="H301" s="48" t="n"/>
      <c r="I301" s="38" t="n"/>
      <c r="J301" s="39" t="n"/>
      <c r="K301" s="39" t="n"/>
      <c r="L301" s="39" t="n"/>
      <c r="M301" s="39" t="n"/>
      <c r="N301" s="47" t="n"/>
      <c r="O301" s="35" t="n"/>
    </row>
    <row r="302">
      <c r="A302" s="35" t="n"/>
      <c r="B302" s="46" t="n"/>
      <c r="C302" s="35" t="n"/>
      <c r="D302" s="35" t="n"/>
      <c r="E302" s="47" t="n"/>
      <c r="F302" s="38" t="n"/>
      <c r="G302" s="37" t="n"/>
      <c r="H302" s="48" t="n"/>
      <c r="I302" s="38" t="n"/>
      <c r="J302" s="39" t="n"/>
      <c r="K302" s="39" t="n"/>
      <c r="L302" s="39" t="n"/>
      <c r="M302" s="39" t="n"/>
      <c r="N302" s="47" t="n"/>
      <c r="O302" s="35" t="n"/>
    </row>
    <row r="303">
      <c r="A303" s="35" t="n"/>
      <c r="B303" s="46" t="n"/>
      <c r="C303" s="35" t="n"/>
      <c r="D303" s="35" t="n"/>
      <c r="E303" s="47" t="n"/>
      <c r="F303" s="38" t="n"/>
      <c r="G303" s="37" t="n"/>
      <c r="H303" s="48" t="n"/>
      <c r="I303" s="38" t="n"/>
      <c r="J303" s="39" t="n"/>
      <c r="K303" s="39" t="n"/>
      <c r="L303" s="39" t="n"/>
      <c r="M303" s="39" t="n"/>
      <c r="N303" s="47" t="n"/>
      <c r="O303" s="35" t="n"/>
    </row>
    <row r="304">
      <c r="A304" s="35" t="n"/>
      <c r="B304" s="46" t="n"/>
      <c r="C304" s="35" t="n"/>
      <c r="D304" s="35" t="n"/>
      <c r="E304" s="47" t="n"/>
      <c r="F304" s="38" t="n"/>
      <c r="G304" s="37" t="n"/>
      <c r="H304" s="48" t="n"/>
      <c r="I304" s="38" t="n"/>
      <c r="J304" s="39" t="n"/>
      <c r="K304" s="39" t="n"/>
      <c r="L304" s="39" t="n"/>
      <c r="M304" s="39" t="n"/>
      <c r="N304" s="47" t="n"/>
      <c r="O304" s="35" t="n"/>
    </row>
    <row r="305">
      <c r="A305" s="35" t="n"/>
      <c r="B305" s="46" t="n"/>
      <c r="C305" s="35" t="n"/>
      <c r="D305" s="35" t="n"/>
      <c r="E305" s="47" t="n"/>
      <c r="F305" s="38" t="n"/>
      <c r="G305" s="37" t="n"/>
      <c r="H305" s="48" t="n"/>
      <c r="I305" s="38" t="n"/>
      <c r="J305" s="39" t="n"/>
      <c r="K305" s="39" t="n"/>
      <c r="L305" s="39" t="n"/>
      <c r="M305" s="39" t="n"/>
      <c r="N305" s="47" t="n"/>
      <c r="O305" s="35" t="n"/>
    </row>
    <row r="306">
      <c r="A306" s="35" t="n"/>
      <c r="B306" s="46" t="n"/>
      <c r="C306" s="35" t="n"/>
      <c r="D306" s="35" t="n"/>
      <c r="E306" s="47" t="n"/>
      <c r="F306" s="38" t="n"/>
      <c r="G306" s="37" t="n"/>
      <c r="H306" s="48" t="n"/>
      <c r="I306" s="38" t="n"/>
      <c r="J306" s="39" t="n"/>
      <c r="K306" s="39" t="n"/>
      <c r="L306" s="39" t="n"/>
      <c r="M306" s="39" t="n"/>
      <c r="N306" s="47" t="n"/>
      <c r="O306" s="35" t="n"/>
    </row>
    <row r="307">
      <c r="A307" s="35" t="n"/>
      <c r="B307" s="46" t="n"/>
      <c r="C307" s="35" t="n"/>
      <c r="D307" s="35" t="n"/>
      <c r="E307" s="47" t="n"/>
      <c r="F307" s="38" t="n"/>
      <c r="G307" s="37" t="n"/>
      <c r="H307" s="48" t="n"/>
      <c r="I307" s="38" t="n"/>
      <c r="J307" s="39" t="n"/>
      <c r="K307" s="39" t="n"/>
      <c r="L307" s="39" t="n"/>
      <c r="M307" s="39" t="n"/>
      <c r="N307" s="47" t="n"/>
      <c r="O307" s="35" t="n"/>
    </row>
    <row r="308">
      <c r="A308" s="35" t="n"/>
      <c r="B308" s="46" t="n"/>
      <c r="C308" s="35" t="n"/>
      <c r="D308" s="35" t="n"/>
      <c r="E308" s="47" t="n"/>
      <c r="F308" s="38" t="n"/>
      <c r="G308" s="37" t="n"/>
      <c r="H308" s="48" t="n"/>
      <c r="I308" s="38" t="n"/>
      <c r="J308" s="39" t="n"/>
      <c r="K308" s="39" t="n"/>
      <c r="L308" s="39" t="n"/>
      <c r="M308" s="39" t="n"/>
      <c r="N308" s="47" t="n"/>
      <c r="O308" s="35" t="n"/>
    </row>
    <row r="309">
      <c r="A309" s="35" t="n"/>
      <c r="B309" s="46" t="n"/>
      <c r="C309" s="35" t="n"/>
      <c r="D309" s="35" t="n"/>
      <c r="E309" s="47" t="n"/>
      <c r="F309" s="38" t="n"/>
      <c r="G309" s="37" t="n"/>
      <c r="H309" s="48" t="n"/>
      <c r="I309" s="38" t="n"/>
      <c r="J309" s="39" t="n"/>
      <c r="K309" s="39" t="n"/>
      <c r="L309" s="39" t="n"/>
      <c r="M309" s="39" t="n"/>
      <c r="N309" s="47" t="n"/>
      <c r="O309" s="35" t="n"/>
    </row>
    <row r="310">
      <c r="A310" s="35" t="n"/>
      <c r="B310" s="46" t="n"/>
      <c r="C310" s="35" t="n"/>
      <c r="D310" s="35" t="n"/>
      <c r="E310" s="47" t="n"/>
      <c r="F310" s="38" t="n"/>
      <c r="G310" s="37" t="n"/>
      <c r="H310" s="48" t="n"/>
      <c r="I310" s="38" t="n"/>
      <c r="J310" s="39" t="n"/>
      <c r="K310" s="39" t="n"/>
      <c r="L310" s="39" t="n"/>
      <c r="M310" s="39" t="n"/>
      <c r="N310" s="47" t="n"/>
      <c r="O310" s="35" t="n"/>
    </row>
    <row r="311">
      <c r="A311" s="35" t="n"/>
      <c r="B311" s="46" t="n"/>
      <c r="C311" s="35" t="n"/>
      <c r="D311" s="35" t="n"/>
      <c r="E311" s="47" t="n"/>
      <c r="F311" s="38" t="n"/>
      <c r="G311" s="37" t="n"/>
      <c r="H311" s="48" t="n"/>
      <c r="I311" s="38" t="n"/>
      <c r="J311" s="39" t="n"/>
      <c r="K311" s="39" t="n"/>
      <c r="L311" s="39" t="n"/>
      <c r="M311" s="39" t="n"/>
      <c r="N311" s="47" t="n"/>
      <c r="O311" s="35" t="n"/>
    </row>
  </sheetData>
  <dataValidations count="3">
    <dataValidation sqref="C5:C2000" showDropDown="0" showInputMessage="0" showErrorMessage="1" allowBlank="1" errorTitle="Not found" error="Pick an existing code from the list." type="list">
      <formula1>=lstCustomers</formula1>
    </dataValidation>
    <dataValidation sqref="D5:D2000" showDropDown="0" showInputMessage="0" showErrorMessage="1" allowBlank="1" errorTitle="Not found" error="Pick an existing code from the list." type="list">
      <formula1>=lstProducts</formula1>
    </dataValidation>
    <dataValidation sqref="B5:B2000" showDropDown="0" showInputMessage="0" showErrorMessage="1" allowBlank="1" error="Enter a valid date" type="date" operator="greaterThan">
      <formula1>36526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H3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0" customWidth="1" min="3" max="3"/>
    <col width="16" customWidth="1" min="4" max="4"/>
    <col width="28" customWidth="1" min="5" max="5"/>
    <col width="32" customWidth="1" min="6" max="6"/>
    <col width="16" customWidth="1" min="7" max="7"/>
    <col width="28" customWidth="1" min="8" max="8"/>
  </cols>
  <sheetData>
    <row r="1">
      <c r="A1" s="1" t="inlineStr">
        <is>
          <t>Happy Hatch – CUSTOMERS</t>
        </is>
      </c>
    </row>
    <row r="2">
      <c r="A2" s="4" t="inlineStr">
        <is>
          <t>Blue = enter / edit. Sample rows are fictional - overwrite them with real records.</t>
        </is>
      </c>
    </row>
    <row r="4" ht="32" customHeight="1">
      <c r="A4" s="21" t="inlineStr">
        <is>
          <t>Customer Number</t>
        </is>
      </c>
      <c r="B4" s="21" t="inlineStr">
        <is>
          <t>Customer Name</t>
        </is>
      </c>
      <c r="C4" s="21" t="inlineStr">
        <is>
          <t>Contact Person</t>
        </is>
      </c>
      <c r="D4" s="21" t="inlineStr">
        <is>
          <t>Phone</t>
        </is>
      </c>
      <c r="E4" s="21" t="inlineStr">
        <is>
          <t>Email</t>
        </is>
      </c>
      <c r="F4" s="21" t="inlineStr">
        <is>
          <t>Address</t>
        </is>
      </c>
      <c r="G4" s="21" t="inlineStr">
        <is>
          <t>City</t>
        </is>
      </c>
      <c r="H4" s="21" t="inlineStr">
        <is>
          <t>Remarks</t>
        </is>
      </c>
    </row>
    <row r="5">
      <c r="A5" s="40" t="inlineStr">
        <is>
          <t>CUS-001</t>
        </is>
      </c>
      <c r="B5" s="40" t="inlineStr">
        <is>
          <t>Sample Retail Traders</t>
        </is>
      </c>
      <c r="C5" s="40" t="inlineStr">
        <is>
          <t>Anita Rao</t>
        </is>
      </c>
      <c r="D5" s="49" t="inlineStr">
        <is>
          <t>9000000001</t>
        </is>
      </c>
      <c r="E5" s="40" t="inlineStr">
        <is>
          <t>anita@example.com</t>
        </is>
      </c>
      <c r="F5" s="40" t="inlineStr">
        <is>
          <t>12 Market Road</t>
        </is>
      </c>
      <c r="G5" s="40" t="inlineStr">
        <is>
          <t>Chennai</t>
        </is>
      </c>
      <c r="H5" s="40" t="n"/>
    </row>
    <row r="6">
      <c r="A6" s="40" t="inlineStr">
        <is>
          <t>CUS-002</t>
        </is>
      </c>
      <c r="B6" s="40" t="inlineStr">
        <is>
          <t>Sample Home Store</t>
        </is>
      </c>
      <c r="C6" s="40" t="inlineStr">
        <is>
          <t>Ravi Kumar</t>
        </is>
      </c>
      <c r="D6" s="49" t="inlineStr">
        <is>
          <t>9000000002</t>
        </is>
      </c>
      <c r="E6" s="40" t="inlineStr">
        <is>
          <t>ravi@example.com</t>
        </is>
      </c>
      <c r="F6" s="40" t="inlineStr">
        <is>
          <t>45 Main Street</t>
        </is>
      </c>
      <c r="G6" s="40" t="inlineStr">
        <is>
          <t>Coimbatore</t>
        </is>
      </c>
      <c r="H6" s="40" t="n"/>
    </row>
    <row r="7">
      <c r="A7" s="40" t="inlineStr">
        <is>
          <t>CUS-003</t>
        </is>
      </c>
      <c r="B7" s="40" t="inlineStr">
        <is>
          <t>Sample E-Commerce Seller</t>
        </is>
      </c>
      <c r="C7" s="40" t="inlineStr">
        <is>
          <t>Meena S</t>
        </is>
      </c>
      <c r="D7" s="49" t="inlineStr">
        <is>
          <t>9000000003</t>
        </is>
      </c>
      <c r="E7" s="40" t="inlineStr">
        <is>
          <t>meena@example.com</t>
        </is>
      </c>
      <c r="F7" s="40" t="inlineStr">
        <is>
          <t>7 Tech Park</t>
        </is>
      </c>
      <c r="G7" s="40" t="inlineStr">
        <is>
          <t>Bengaluru</t>
        </is>
      </c>
      <c r="H7" s="40" t="n"/>
    </row>
    <row r="8">
      <c r="A8" s="40" t="inlineStr">
        <is>
          <t>CUS-004</t>
        </is>
      </c>
      <c r="B8" s="40" t="inlineStr">
        <is>
          <t>Sample Stationery Mart</t>
        </is>
      </c>
      <c r="C8" s="40" t="inlineStr">
        <is>
          <t>John D</t>
        </is>
      </c>
      <c r="D8" s="49" t="inlineStr">
        <is>
          <t>9000000004</t>
        </is>
      </c>
      <c r="E8" s="40" t="inlineStr">
        <is>
          <t>john@example.com</t>
        </is>
      </c>
      <c r="F8" s="40" t="inlineStr">
        <is>
          <t>3 College Lane</t>
        </is>
      </c>
      <c r="G8" s="40" t="inlineStr">
        <is>
          <t>Madurai</t>
        </is>
      </c>
      <c r="H8" s="40" t="n"/>
    </row>
    <row r="9">
      <c r="A9" s="35" t="n"/>
      <c r="B9" s="35" t="n"/>
      <c r="C9" s="35" t="n"/>
      <c r="D9" s="50" t="n"/>
      <c r="E9" s="35" t="n"/>
      <c r="F9" s="35" t="n"/>
      <c r="G9" s="35" t="n"/>
      <c r="H9" s="35" t="n"/>
    </row>
    <row r="10">
      <c r="A10" s="35" t="n"/>
      <c r="B10" s="35" t="n"/>
      <c r="C10" s="35" t="n"/>
      <c r="D10" s="50" t="n"/>
      <c r="E10" s="35" t="n"/>
      <c r="F10" s="35" t="n"/>
      <c r="G10" s="35" t="n"/>
      <c r="H10" s="35" t="n"/>
    </row>
    <row r="11">
      <c r="A11" s="35" t="n"/>
      <c r="B11" s="35" t="n"/>
      <c r="C11" s="35" t="n"/>
      <c r="D11" s="50" t="n"/>
      <c r="E11" s="35" t="n"/>
      <c r="F11" s="35" t="n"/>
      <c r="G11" s="35" t="n"/>
      <c r="H11" s="35" t="n"/>
    </row>
    <row r="12">
      <c r="A12" s="35" t="n"/>
      <c r="B12" s="35" t="n"/>
      <c r="C12" s="35" t="n"/>
      <c r="D12" s="50" t="n"/>
      <c r="E12" s="35" t="n"/>
      <c r="F12" s="35" t="n"/>
      <c r="G12" s="35" t="n"/>
      <c r="H12" s="35" t="n"/>
    </row>
    <row r="13">
      <c r="A13" s="35" t="n"/>
      <c r="B13" s="35" t="n"/>
      <c r="C13" s="35" t="n"/>
      <c r="D13" s="50" t="n"/>
      <c r="E13" s="35" t="n"/>
      <c r="F13" s="35" t="n"/>
      <c r="G13" s="35" t="n"/>
      <c r="H13" s="35" t="n"/>
    </row>
    <row r="14">
      <c r="A14" s="35" t="n"/>
      <c r="B14" s="35" t="n"/>
      <c r="C14" s="35" t="n"/>
      <c r="D14" s="50" t="n"/>
      <c r="E14" s="35" t="n"/>
      <c r="F14" s="35" t="n"/>
      <c r="G14" s="35" t="n"/>
      <c r="H14" s="35" t="n"/>
    </row>
    <row r="15">
      <c r="A15" s="35" t="n"/>
      <c r="B15" s="35" t="n"/>
      <c r="C15" s="35" t="n"/>
      <c r="D15" s="50" t="n"/>
      <c r="E15" s="35" t="n"/>
      <c r="F15" s="35" t="n"/>
      <c r="G15" s="35" t="n"/>
      <c r="H15" s="35" t="n"/>
    </row>
    <row r="16">
      <c r="A16" s="35" t="n"/>
      <c r="B16" s="35" t="n"/>
      <c r="C16" s="35" t="n"/>
      <c r="D16" s="50" t="n"/>
      <c r="E16" s="35" t="n"/>
      <c r="F16" s="35" t="n"/>
      <c r="G16" s="35" t="n"/>
      <c r="H16" s="35" t="n"/>
    </row>
    <row r="17">
      <c r="A17" s="35" t="n"/>
      <c r="B17" s="35" t="n"/>
      <c r="C17" s="35" t="n"/>
      <c r="D17" s="50" t="n"/>
      <c r="E17" s="35" t="n"/>
      <c r="F17" s="35" t="n"/>
      <c r="G17" s="35" t="n"/>
      <c r="H17" s="35" t="n"/>
    </row>
    <row r="18">
      <c r="A18" s="35" t="n"/>
      <c r="B18" s="35" t="n"/>
      <c r="C18" s="35" t="n"/>
      <c r="D18" s="50" t="n"/>
      <c r="E18" s="35" t="n"/>
      <c r="F18" s="35" t="n"/>
      <c r="G18" s="35" t="n"/>
      <c r="H18" s="35" t="n"/>
    </row>
    <row r="19">
      <c r="A19" s="35" t="n"/>
      <c r="B19" s="35" t="n"/>
      <c r="C19" s="35" t="n"/>
      <c r="D19" s="50" t="n"/>
      <c r="E19" s="35" t="n"/>
      <c r="F19" s="35" t="n"/>
      <c r="G19" s="35" t="n"/>
      <c r="H19" s="35" t="n"/>
    </row>
    <row r="20">
      <c r="A20" s="35" t="n"/>
      <c r="B20" s="35" t="n"/>
      <c r="C20" s="35" t="n"/>
      <c r="D20" s="50" t="n"/>
      <c r="E20" s="35" t="n"/>
      <c r="F20" s="35" t="n"/>
      <c r="G20" s="35" t="n"/>
      <c r="H20" s="35" t="n"/>
    </row>
    <row r="21">
      <c r="A21" s="35" t="n"/>
      <c r="B21" s="35" t="n"/>
      <c r="C21" s="35" t="n"/>
      <c r="D21" s="50" t="n"/>
      <c r="E21" s="35" t="n"/>
      <c r="F21" s="35" t="n"/>
      <c r="G21" s="35" t="n"/>
      <c r="H21" s="35" t="n"/>
    </row>
    <row r="22">
      <c r="A22" s="35" t="n"/>
      <c r="B22" s="35" t="n"/>
      <c r="C22" s="35" t="n"/>
      <c r="D22" s="50" t="n"/>
      <c r="E22" s="35" t="n"/>
      <c r="F22" s="35" t="n"/>
      <c r="G22" s="35" t="n"/>
      <c r="H22" s="35" t="n"/>
    </row>
    <row r="23">
      <c r="A23" s="35" t="n"/>
      <c r="B23" s="35" t="n"/>
      <c r="C23" s="35" t="n"/>
      <c r="D23" s="50" t="n"/>
      <c r="E23" s="35" t="n"/>
      <c r="F23" s="35" t="n"/>
      <c r="G23" s="35" t="n"/>
      <c r="H23" s="35" t="n"/>
    </row>
    <row r="24">
      <c r="A24" s="35" t="n"/>
      <c r="B24" s="35" t="n"/>
      <c r="C24" s="35" t="n"/>
      <c r="D24" s="50" t="n"/>
      <c r="E24" s="35" t="n"/>
      <c r="F24" s="35" t="n"/>
      <c r="G24" s="35" t="n"/>
      <c r="H24" s="35" t="n"/>
    </row>
    <row r="25">
      <c r="A25" s="35" t="n"/>
      <c r="B25" s="35" t="n"/>
      <c r="C25" s="35" t="n"/>
      <c r="D25" s="50" t="n"/>
      <c r="E25" s="35" t="n"/>
      <c r="F25" s="35" t="n"/>
      <c r="G25" s="35" t="n"/>
      <c r="H25" s="35" t="n"/>
    </row>
    <row r="26">
      <c r="A26" s="35" t="n"/>
      <c r="B26" s="35" t="n"/>
      <c r="C26" s="35" t="n"/>
      <c r="D26" s="50" t="n"/>
      <c r="E26" s="35" t="n"/>
      <c r="F26" s="35" t="n"/>
      <c r="G26" s="35" t="n"/>
      <c r="H26" s="35" t="n"/>
    </row>
    <row r="27">
      <c r="A27" s="35" t="n"/>
      <c r="B27" s="35" t="n"/>
      <c r="C27" s="35" t="n"/>
      <c r="D27" s="50" t="n"/>
      <c r="E27" s="35" t="n"/>
      <c r="F27" s="35" t="n"/>
      <c r="G27" s="35" t="n"/>
      <c r="H27" s="35" t="n"/>
    </row>
    <row r="28">
      <c r="A28" s="35" t="n"/>
      <c r="B28" s="35" t="n"/>
      <c r="C28" s="35" t="n"/>
      <c r="D28" s="50" t="n"/>
      <c r="E28" s="35" t="n"/>
      <c r="F28" s="35" t="n"/>
      <c r="G28" s="35" t="n"/>
      <c r="H28" s="35" t="n"/>
    </row>
    <row r="29">
      <c r="A29" s="35" t="n"/>
      <c r="B29" s="35" t="n"/>
      <c r="C29" s="35" t="n"/>
      <c r="D29" s="50" t="n"/>
      <c r="E29" s="35" t="n"/>
      <c r="F29" s="35" t="n"/>
      <c r="G29" s="35" t="n"/>
      <c r="H29" s="35" t="n"/>
    </row>
    <row r="30">
      <c r="A30" s="35" t="n"/>
      <c r="B30" s="35" t="n"/>
      <c r="C30" s="35" t="n"/>
      <c r="D30" s="50" t="n"/>
      <c r="E30" s="35" t="n"/>
      <c r="F30" s="35" t="n"/>
      <c r="G30" s="35" t="n"/>
      <c r="H30" s="35" t="n"/>
    </row>
    <row r="31">
      <c r="A31" s="35" t="n"/>
      <c r="B31" s="35" t="n"/>
      <c r="C31" s="35" t="n"/>
      <c r="D31" s="50" t="n"/>
      <c r="E31" s="35" t="n"/>
      <c r="F31" s="35" t="n"/>
      <c r="G31" s="35" t="n"/>
      <c r="H31" s="35" t="n"/>
    </row>
    <row r="32">
      <c r="A32" s="35" t="n"/>
      <c r="B32" s="35" t="n"/>
      <c r="C32" s="35" t="n"/>
      <c r="D32" s="50" t="n"/>
      <c r="E32" s="35" t="n"/>
      <c r="F32" s="35" t="n"/>
      <c r="G32" s="35" t="n"/>
      <c r="H32" s="35" t="n"/>
    </row>
    <row r="33">
      <c r="A33" s="35" t="n"/>
      <c r="B33" s="35" t="n"/>
      <c r="C33" s="35" t="n"/>
      <c r="D33" s="50" t="n"/>
      <c r="E33" s="35" t="n"/>
      <c r="F33" s="35" t="n"/>
      <c r="G33" s="35" t="n"/>
      <c r="H33" s="35" t="n"/>
    </row>
    <row r="34">
      <c r="A34" s="35" t="n"/>
      <c r="B34" s="35" t="n"/>
      <c r="C34" s="35" t="n"/>
      <c r="D34" s="50" t="n"/>
      <c r="E34" s="35" t="n"/>
      <c r="F34" s="35" t="n"/>
      <c r="G34" s="35" t="n"/>
      <c r="H34" s="35" t="n"/>
    </row>
    <row r="35">
      <c r="A35" s="35" t="n"/>
      <c r="B35" s="35" t="n"/>
      <c r="C35" s="35" t="n"/>
      <c r="D35" s="50" t="n"/>
      <c r="E35" s="35" t="n"/>
      <c r="F35" s="35" t="n"/>
      <c r="G35" s="35" t="n"/>
      <c r="H35" s="35" t="n"/>
    </row>
    <row r="36">
      <c r="A36" s="35" t="n"/>
      <c r="B36" s="35" t="n"/>
      <c r="C36" s="35" t="n"/>
      <c r="D36" s="50" t="n"/>
      <c r="E36" s="35" t="n"/>
      <c r="F36" s="35" t="n"/>
      <c r="G36" s="35" t="n"/>
      <c r="H36" s="35" t="n"/>
    </row>
    <row r="37">
      <c r="A37" s="35" t="n"/>
      <c r="B37" s="35" t="n"/>
      <c r="C37" s="35" t="n"/>
      <c r="D37" s="50" t="n"/>
      <c r="E37" s="35" t="n"/>
      <c r="F37" s="35" t="n"/>
      <c r="G37" s="35" t="n"/>
      <c r="H37" s="35" t="n"/>
    </row>
    <row r="38">
      <c r="A38" s="35" t="n"/>
      <c r="B38" s="35" t="n"/>
      <c r="C38" s="35" t="n"/>
      <c r="D38" s="50" t="n"/>
      <c r="E38" s="35" t="n"/>
      <c r="F38" s="35" t="n"/>
      <c r="G38" s="35" t="n"/>
      <c r="H38" s="35" t="n"/>
    </row>
    <row r="39">
      <c r="A39" s="35" t="n"/>
      <c r="B39" s="35" t="n"/>
      <c r="C39" s="35" t="n"/>
      <c r="D39" s="50" t="n"/>
      <c r="E39" s="35" t="n"/>
      <c r="F39" s="35" t="n"/>
      <c r="G39" s="35" t="n"/>
      <c r="H39" s="35" t="n"/>
    </row>
    <row r="40">
      <c r="A40" s="35" t="n"/>
      <c r="B40" s="35" t="n"/>
      <c r="C40" s="35" t="n"/>
      <c r="D40" s="50" t="n"/>
      <c r="E40" s="35" t="n"/>
      <c r="F40" s="35" t="n"/>
      <c r="G40" s="35" t="n"/>
      <c r="H40" s="35" t="n"/>
    </row>
    <row r="41">
      <c r="A41" s="35" t="n"/>
      <c r="B41" s="35" t="n"/>
      <c r="C41" s="35" t="n"/>
      <c r="D41" s="50" t="n"/>
      <c r="E41" s="35" t="n"/>
      <c r="F41" s="35" t="n"/>
      <c r="G41" s="35" t="n"/>
      <c r="H41" s="35" t="n"/>
    </row>
    <row r="42">
      <c r="A42" s="35" t="n"/>
      <c r="B42" s="35" t="n"/>
      <c r="C42" s="35" t="n"/>
      <c r="D42" s="50" t="n"/>
      <c r="E42" s="35" t="n"/>
      <c r="F42" s="35" t="n"/>
      <c r="G42" s="35" t="n"/>
      <c r="H42" s="35" t="n"/>
    </row>
    <row r="43">
      <c r="A43" s="35" t="n"/>
      <c r="B43" s="35" t="n"/>
      <c r="C43" s="35" t="n"/>
      <c r="D43" s="50" t="n"/>
      <c r="E43" s="35" t="n"/>
      <c r="F43" s="35" t="n"/>
      <c r="G43" s="35" t="n"/>
      <c r="H43" s="35" t="n"/>
    </row>
    <row r="44">
      <c r="A44" s="35" t="n"/>
      <c r="B44" s="35" t="n"/>
      <c r="C44" s="35" t="n"/>
      <c r="D44" s="50" t="n"/>
      <c r="E44" s="35" t="n"/>
      <c r="F44" s="35" t="n"/>
      <c r="G44" s="35" t="n"/>
      <c r="H44" s="35" t="n"/>
    </row>
    <row r="45">
      <c r="A45" s="35" t="n"/>
      <c r="B45" s="35" t="n"/>
      <c r="C45" s="35" t="n"/>
      <c r="D45" s="50" t="n"/>
      <c r="E45" s="35" t="n"/>
      <c r="F45" s="35" t="n"/>
      <c r="G45" s="35" t="n"/>
      <c r="H45" s="35" t="n"/>
    </row>
    <row r="46">
      <c r="A46" s="35" t="n"/>
      <c r="B46" s="35" t="n"/>
      <c r="C46" s="35" t="n"/>
      <c r="D46" s="50" t="n"/>
      <c r="E46" s="35" t="n"/>
      <c r="F46" s="35" t="n"/>
      <c r="G46" s="35" t="n"/>
      <c r="H46" s="35" t="n"/>
    </row>
    <row r="47">
      <c r="A47" s="35" t="n"/>
      <c r="B47" s="35" t="n"/>
      <c r="C47" s="35" t="n"/>
      <c r="D47" s="50" t="n"/>
      <c r="E47" s="35" t="n"/>
      <c r="F47" s="35" t="n"/>
      <c r="G47" s="35" t="n"/>
      <c r="H47" s="35" t="n"/>
    </row>
    <row r="48">
      <c r="A48" s="35" t="n"/>
      <c r="B48" s="35" t="n"/>
      <c r="C48" s="35" t="n"/>
      <c r="D48" s="50" t="n"/>
      <c r="E48" s="35" t="n"/>
      <c r="F48" s="35" t="n"/>
      <c r="G48" s="35" t="n"/>
      <c r="H48" s="35" t="n"/>
    </row>
    <row r="49">
      <c r="A49" s="35" t="n"/>
      <c r="B49" s="35" t="n"/>
      <c r="C49" s="35" t="n"/>
      <c r="D49" s="50" t="n"/>
      <c r="E49" s="35" t="n"/>
      <c r="F49" s="35" t="n"/>
      <c r="G49" s="35" t="n"/>
      <c r="H49" s="35" t="n"/>
    </row>
    <row r="50">
      <c r="A50" s="35" t="n"/>
      <c r="B50" s="35" t="n"/>
      <c r="C50" s="35" t="n"/>
      <c r="D50" s="50" t="n"/>
      <c r="E50" s="35" t="n"/>
      <c r="F50" s="35" t="n"/>
      <c r="G50" s="35" t="n"/>
      <c r="H50" s="35" t="n"/>
    </row>
    <row r="51">
      <c r="A51" s="35" t="n"/>
      <c r="B51" s="35" t="n"/>
      <c r="C51" s="35" t="n"/>
      <c r="D51" s="50" t="n"/>
      <c r="E51" s="35" t="n"/>
      <c r="F51" s="35" t="n"/>
      <c r="G51" s="35" t="n"/>
      <c r="H51" s="35" t="n"/>
    </row>
    <row r="52">
      <c r="A52" s="35" t="n"/>
      <c r="B52" s="35" t="n"/>
      <c r="C52" s="35" t="n"/>
      <c r="D52" s="50" t="n"/>
      <c r="E52" s="35" t="n"/>
      <c r="F52" s="35" t="n"/>
      <c r="G52" s="35" t="n"/>
      <c r="H52" s="35" t="n"/>
    </row>
    <row r="53">
      <c r="A53" s="35" t="n"/>
      <c r="B53" s="35" t="n"/>
      <c r="C53" s="35" t="n"/>
      <c r="D53" s="50" t="n"/>
      <c r="E53" s="35" t="n"/>
      <c r="F53" s="35" t="n"/>
      <c r="G53" s="35" t="n"/>
      <c r="H53" s="35" t="n"/>
    </row>
    <row r="54">
      <c r="A54" s="35" t="n"/>
      <c r="B54" s="35" t="n"/>
      <c r="C54" s="35" t="n"/>
      <c r="D54" s="50" t="n"/>
      <c r="E54" s="35" t="n"/>
      <c r="F54" s="35" t="n"/>
      <c r="G54" s="35" t="n"/>
      <c r="H54" s="35" t="n"/>
    </row>
    <row r="55">
      <c r="A55" s="35" t="n"/>
      <c r="B55" s="35" t="n"/>
      <c r="C55" s="35" t="n"/>
      <c r="D55" s="50" t="n"/>
      <c r="E55" s="35" t="n"/>
      <c r="F55" s="35" t="n"/>
      <c r="G55" s="35" t="n"/>
      <c r="H55" s="35" t="n"/>
    </row>
    <row r="56">
      <c r="A56" s="35" t="n"/>
      <c r="B56" s="35" t="n"/>
      <c r="C56" s="35" t="n"/>
      <c r="D56" s="50" t="n"/>
      <c r="E56" s="35" t="n"/>
      <c r="F56" s="35" t="n"/>
      <c r="G56" s="35" t="n"/>
      <c r="H56" s="35" t="n"/>
    </row>
    <row r="57">
      <c r="A57" s="35" t="n"/>
      <c r="B57" s="35" t="n"/>
      <c r="C57" s="35" t="n"/>
      <c r="D57" s="50" t="n"/>
      <c r="E57" s="35" t="n"/>
      <c r="F57" s="35" t="n"/>
      <c r="G57" s="35" t="n"/>
      <c r="H57" s="35" t="n"/>
    </row>
    <row r="58">
      <c r="A58" s="35" t="n"/>
      <c r="B58" s="35" t="n"/>
      <c r="C58" s="35" t="n"/>
      <c r="D58" s="50" t="n"/>
      <c r="E58" s="35" t="n"/>
      <c r="F58" s="35" t="n"/>
      <c r="G58" s="35" t="n"/>
      <c r="H58" s="35" t="n"/>
    </row>
    <row r="59">
      <c r="A59" s="35" t="n"/>
      <c r="B59" s="35" t="n"/>
      <c r="C59" s="35" t="n"/>
      <c r="D59" s="50" t="n"/>
      <c r="E59" s="35" t="n"/>
      <c r="F59" s="35" t="n"/>
      <c r="G59" s="35" t="n"/>
      <c r="H59" s="35" t="n"/>
    </row>
    <row r="60">
      <c r="A60" s="35" t="n"/>
      <c r="B60" s="35" t="n"/>
      <c r="C60" s="35" t="n"/>
      <c r="D60" s="50" t="n"/>
      <c r="E60" s="35" t="n"/>
      <c r="F60" s="35" t="n"/>
      <c r="G60" s="35" t="n"/>
      <c r="H60" s="35" t="n"/>
    </row>
    <row r="61">
      <c r="A61" s="35" t="n"/>
      <c r="B61" s="35" t="n"/>
      <c r="C61" s="35" t="n"/>
      <c r="D61" s="50" t="n"/>
      <c r="E61" s="35" t="n"/>
      <c r="F61" s="35" t="n"/>
      <c r="G61" s="35" t="n"/>
      <c r="H61" s="35" t="n"/>
    </row>
    <row r="62">
      <c r="A62" s="35" t="n"/>
      <c r="B62" s="35" t="n"/>
      <c r="C62" s="35" t="n"/>
      <c r="D62" s="50" t="n"/>
      <c r="E62" s="35" t="n"/>
      <c r="F62" s="35" t="n"/>
      <c r="G62" s="35" t="n"/>
      <c r="H62" s="35" t="n"/>
    </row>
    <row r="63">
      <c r="A63" s="35" t="n"/>
      <c r="B63" s="35" t="n"/>
      <c r="C63" s="35" t="n"/>
      <c r="D63" s="50" t="n"/>
      <c r="E63" s="35" t="n"/>
      <c r="F63" s="35" t="n"/>
      <c r="G63" s="35" t="n"/>
      <c r="H63" s="35" t="n"/>
    </row>
    <row r="64">
      <c r="A64" s="35" t="n"/>
      <c r="B64" s="35" t="n"/>
      <c r="C64" s="35" t="n"/>
      <c r="D64" s="50" t="n"/>
      <c r="E64" s="35" t="n"/>
      <c r="F64" s="35" t="n"/>
      <c r="G64" s="35" t="n"/>
      <c r="H64" s="35" t="n"/>
    </row>
    <row r="65">
      <c r="A65" s="35" t="n"/>
      <c r="B65" s="35" t="n"/>
      <c r="C65" s="35" t="n"/>
      <c r="D65" s="50" t="n"/>
      <c r="E65" s="35" t="n"/>
      <c r="F65" s="35" t="n"/>
      <c r="G65" s="35" t="n"/>
      <c r="H65" s="35" t="n"/>
    </row>
    <row r="66">
      <c r="A66" s="35" t="n"/>
      <c r="B66" s="35" t="n"/>
      <c r="C66" s="35" t="n"/>
      <c r="D66" s="50" t="n"/>
      <c r="E66" s="35" t="n"/>
      <c r="F66" s="35" t="n"/>
      <c r="G66" s="35" t="n"/>
      <c r="H66" s="35" t="n"/>
    </row>
    <row r="67">
      <c r="A67" s="35" t="n"/>
      <c r="B67" s="35" t="n"/>
      <c r="C67" s="35" t="n"/>
      <c r="D67" s="50" t="n"/>
      <c r="E67" s="35" t="n"/>
      <c r="F67" s="35" t="n"/>
      <c r="G67" s="35" t="n"/>
      <c r="H67" s="35" t="n"/>
    </row>
    <row r="68">
      <c r="A68" s="35" t="n"/>
      <c r="B68" s="35" t="n"/>
      <c r="C68" s="35" t="n"/>
      <c r="D68" s="50" t="n"/>
      <c r="E68" s="35" t="n"/>
      <c r="F68" s="35" t="n"/>
      <c r="G68" s="35" t="n"/>
      <c r="H68" s="35" t="n"/>
    </row>
    <row r="69">
      <c r="A69" s="35" t="n"/>
      <c r="B69" s="35" t="n"/>
      <c r="C69" s="35" t="n"/>
      <c r="D69" s="50" t="n"/>
      <c r="E69" s="35" t="n"/>
      <c r="F69" s="35" t="n"/>
      <c r="G69" s="35" t="n"/>
      <c r="H69" s="35" t="n"/>
    </row>
    <row r="70">
      <c r="A70" s="35" t="n"/>
      <c r="B70" s="35" t="n"/>
      <c r="C70" s="35" t="n"/>
      <c r="D70" s="50" t="n"/>
      <c r="E70" s="35" t="n"/>
      <c r="F70" s="35" t="n"/>
      <c r="G70" s="35" t="n"/>
      <c r="H70" s="35" t="n"/>
    </row>
    <row r="71">
      <c r="A71" s="35" t="n"/>
      <c r="B71" s="35" t="n"/>
      <c r="C71" s="35" t="n"/>
      <c r="D71" s="50" t="n"/>
      <c r="E71" s="35" t="n"/>
      <c r="F71" s="35" t="n"/>
      <c r="G71" s="35" t="n"/>
      <c r="H71" s="35" t="n"/>
    </row>
    <row r="72">
      <c r="A72" s="35" t="n"/>
      <c r="B72" s="35" t="n"/>
      <c r="C72" s="35" t="n"/>
      <c r="D72" s="50" t="n"/>
      <c r="E72" s="35" t="n"/>
      <c r="F72" s="35" t="n"/>
      <c r="G72" s="35" t="n"/>
      <c r="H72" s="35" t="n"/>
    </row>
    <row r="73">
      <c r="A73" s="35" t="n"/>
      <c r="B73" s="35" t="n"/>
      <c r="C73" s="35" t="n"/>
      <c r="D73" s="50" t="n"/>
      <c r="E73" s="35" t="n"/>
      <c r="F73" s="35" t="n"/>
      <c r="G73" s="35" t="n"/>
      <c r="H73" s="35" t="n"/>
    </row>
    <row r="74">
      <c r="A74" s="35" t="n"/>
      <c r="B74" s="35" t="n"/>
      <c r="C74" s="35" t="n"/>
      <c r="D74" s="50" t="n"/>
      <c r="E74" s="35" t="n"/>
      <c r="F74" s="35" t="n"/>
      <c r="G74" s="35" t="n"/>
      <c r="H74" s="35" t="n"/>
    </row>
    <row r="75">
      <c r="A75" s="35" t="n"/>
      <c r="B75" s="35" t="n"/>
      <c r="C75" s="35" t="n"/>
      <c r="D75" s="50" t="n"/>
      <c r="E75" s="35" t="n"/>
      <c r="F75" s="35" t="n"/>
      <c r="G75" s="35" t="n"/>
      <c r="H75" s="35" t="n"/>
    </row>
    <row r="76">
      <c r="A76" s="35" t="n"/>
      <c r="B76" s="35" t="n"/>
      <c r="C76" s="35" t="n"/>
      <c r="D76" s="50" t="n"/>
      <c r="E76" s="35" t="n"/>
      <c r="F76" s="35" t="n"/>
      <c r="G76" s="35" t="n"/>
      <c r="H76" s="35" t="n"/>
    </row>
    <row r="77">
      <c r="A77" s="35" t="n"/>
      <c r="B77" s="35" t="n"/>
      <c r="C77" s="35" t="n"/>
      <c r="D77" s="50" t="n"/>
      <c r="E77" s="35" t="n"/>
      <c r="F77" s="35" t="n"/>
      <c r="G77" s="35" t="n"/>
      <c r="H77" s="35" t="n"/>
    </row>
    <row r="78">
      <c r="A78" s="35" t="n"/>
      <c r="B78" s="35" t="n"/>
      <c r="C78" s="35" t="n"/>
      <c r="D78" s="50" t="n"/>
      <c r="E78" s="35" t="n"/>
      <c r="F78" s="35" t="n"/>
      <c r="G78" s="35" t="n"/>
      <c r="H78" s="35" t="n"/>
    </row>
    <row r="79">
      <c r="A79" s="35" t="n"/>
      <c r="B79" s="35" t="n"/>
      <c r="C79" s="35" t="n"/>
      <c r="D79" s="50" t="n"/>
      <c r="E79" s="35" t="n"/>
      <c r="F79" s="35" t="n"/>
      <c r="G79" s="35" t="n"/>
      <c r="H79" s="35" t="n"/>
    </row>
    <row r="80">
      <c r="A80" s="35" t="n"/>
      <c r="B80" s="35" t="n"/>
      <c r="C80" s="35" t="n"/>
      <c r="D80" s="50" t="n"/>
      <c r="E80" s="35" t="n"/>
      <c r="F80" s="35" t="n"/>
      <c r="G80" s="35" t="n"/>
      <c r="H80" s="35" t="n"/>
    </row>
    <row r="81">
      <c r="A81" s="35" t="n"/>
      <c r="B81" s="35" t="n"/>
      <c r="C81" s="35" t="n"/>
      <c r="D81" s="50" t="n"/>
      <c r="E81" s="35" t="n"/>
      <c r="F81" s="35" t="n"/>
      <c r="G81" s="35" t="n"/>
      <c r="H81" s="35" t="n"/>
    </row>
    <row r="82">
      <c r="A82" s="35" t="n"/>
      <c r="B82" s="35" t="n"/>
      <c r="C82" s="35" t="n"/>
      <c r="D82" s="50" t="n"/>
      <c r="E82" s="35" t="n"/>
      <c r="F82" s="35" t="n"/>
      <c r="G82" s="35" t="n"/>
      <c r="H82" s="35" t="n"/>
    </row>
    <row r="83">
      <c r="A83" s="35" t="n"/>
      <c r="B83" s="35" t="n"/>
      <c r="C83" s="35" t="n"/>
      <c r="D83" s="50" t="n"/>
      <c r="E83" s="35" t="n"/>
      <c r="F83" s="35" t="n"/>
      <c r="G83" s="35" t="n"/>
      <c r="H83" s="35" t="n"/>
    </row>
    <row r="84">
      <c r="A84" s="35" t="n"/>
      <c r="B84" s="35" t="n"/>
      <c r="C84" s="35" t="n"/>
      <c r="D84" s="50" t="n"/>
      <c r="E84" s="35" t="n"/>
      <c r="F84" s="35" t="n"/>
      <c r="G84" s="35" t="n"/>
      <c r="H84" s="35" t="n"/>
    </row>
    <row r="85">
      <c r="A85" s="35" t="n"/>
      <c r="B85" s="35" t="n"/>
      <c r="C85" s="35" t="n"/>
      <c r="D85" s="50" t="n"/>
      <c r="E85" s="35" t="n"/>
      <c r="F85" s="35" t="n"/>
      <c r="G85" s="35" t="n"/>
      <c r="H85" s="35" t="n"/>
    </row>
    <row r="86">
      <c r="A86" s="35" t="n"/>
      <c r="B86" s="35" t="n"/>
      <c r="C86" s="35" t="n"/>
      <c r="D86" s="50" t="n"/>
      <c r="E86" s="35" t="n"/>
      <c r="F86" s="35" t="n"/>
      <c r="G86" s="35" t="n"/>
      <c r="H86" s="35" t="n"/>
    </row>
    <row r="87">
      <c r="A87" s="35" t="n"/>
      <c r="B87" s="35" t="n"/>
      <c r="C87" s="35" t="n"/>
      <c r="D87" s="50" t="n"/>
      <c r="E87" s="35" t="n"/>
      <c r="F87" s="35" t="n"/>
      <c r="G87" s="35" t="n"/>
      <c r="H87" s="35" t="n"/>
    </row>
    <row r="88">
      <c r="A88" s="35" t="n"/>
      <c r="B88" s="35" t="n"/>
      <c r="C88" s="35" t="n"/>
      <c r="D88" s="50" t="n"/>
      <c r="E88" s="35" t="n"/>
      <c r="F88" s="35" t="n"/>
      <c r="G88" s="35" t="n"/>
      <c r="H88" s="35" t="n"/>
    </row>
    <row r="89">
      <c r="A89" s="35" t="n"/>
      <c r="B89" s="35" t="n"/>
      <c r="C89" s="35" t="n"/>
      <c r="D89" s="50" t="n"/>
      <c r="E89" s="35" t="n"/>
      <c r="F89" s="35" t="n"/>
      <c r="G89" s="35" t="n"/>
      <c r="H89" s="35" t="n"/>
    </row>
    <row r="90">
      <c r="A90" s="35" t="n"/>
      <c r="B90" s="35" t="n"/>
      <c r="C90" s="35" t="n"/>
      <c r="D90" s="50" t="n"/>
      <c r="E90" s="35" t="n"/>
      <c r="F90" s="35" t="n"/>
      <c r="G90" s="35" t="n"/>
      <c r="H90" s="35" t="n"/>
    </row>
    <row r="91">
      <c r="A91" s="35" t="n"/>
      <c r="B91" s="35" t="n"/>
      <c r="C91" s="35" t="n"/>
      <c r="D91" s="50" t="n"/>
      <c r="E91" s="35" t="n"/>
      <c r="F91" s="35" t="n"/>
      <c r="G91" s="35" t="n"/>
      <c r="H91" s="35" t="n"/>
    </row>
    <row r="92">
      <c r="A92" s="35" t="n"/>
      <c r="B92" s="35" t="n"/>
      <c r="C92" s="35" t="n"/>
      <c r="D92" s="50" t="n"/>
      <c r="E92" s="35" t="n"/>
      <c r="F92" s="35" t="n"/>
      <c r="G92" s="35" t="n"/>
      <c r="H92" s="35" t="n"/>
    </row>
    <row r="93">
      <c r="A93" s="35" t="n"/>
      <c r="B93" s="35" t="n"/>
      <c r="C93" s="35" t="n"/>
      <c r="D93" s="50" t="n"/>
      <c r="E93" s="35" t="n"/>
      <c r="F93" s="35" t="n"/>
      <c r="G93" s="35" t="n"/>
      <c r="H93" s="35" t="n"/>
    </row>
    <row r="94">
      <c r="A94" s="35" t="n"/>
      <c r="B94" s="35" t="n"/>
      <c r="C94" s="35" t="n"/>
      <c r="D94" s="50" t="n"/>
      <c r="E94" s="35" t="n"/>
      <c r="F94" s="35" t="n"/>
      <c r="G94" s="35" t="n"/>
      <c r="H94" s="35" t="n"/>
    </row>
    <row r="95">
      <c r="A95" s="35" t="n"/>
      <c r="B95" s="35" t="n"/>
      <c r="C95" s="35" t="n"/>
      <c r="D95" s="50" t="n"/>
      <c r="E95" s="35" t="n"/>
      <c r="F95" s="35" t="n"/>
      <c r="G95" s="35" t="n"/>
      <c r="H95" s="35" t="n"/>
    </row>
    <row r="96">
      <c r="A96" s="35" t="n"/>
      <c r="B96" s="35" t="n"/>
      <c r="C96" s="35" t="n"/>
      <c r="D96" s="50" t="n"/>
      <c r="E96" s="35" t="n"/>
      <c r="F96" s="35" t="n"/>
      <c r="G96" s="35" t="n"/>
      <c r="H96" s="35" t="n"/>
    </row>
    <row r="97">
      <c r="A97" s="35" t="n"/>
      <c r="B97" s="35" t="n"/>
      <c r="C97" s="35" t="n"/>
      <c r="D97" s="50" t="n"/>
      <c r="E97" s="35" t="n"/>
      <c r="F97" s="35" t="n"/>
      <c r="G97" s="35" t="n"/>
      <c r="H97" s="35" t="n"/>
    </row>
    <row r="98">
      <c r="A98" s="35" t="n"/>
      <c r="B98" s="35" t="n"/>
      <c r="C98" s="35" t="n"/>
      <c r="D98" s="50" t="n"/>
      <c r="E98" s="35" t="n"/>
      <c r="F98" s="35" t="n"/>
      <c r="G98" s="35" t="n"/>
      <c r="H98" s="35" t="n"/>
    </row>
    <row r="99">
      <c r="A99" s="35" t="n"/>
      <c r="B99" s="35" t="n"/>
      <c r="C99" s="35" t="n"/>
      <c r="D99" s="50" t="n"/>
      <c r="E99" s="35" t="n"/>
      <c r="F99" s="35" t="n"/>
      <c r="G99" s="35" t="n"/>
      <c r="H99" s="35" t="n"/>
    </row>
    <row r="100">
      <c r="A100" s="35" t="n"/>
      <c r="B100" s="35" t="n"/>
      <c r="C100" s="35" t="n"/>
      <c r="D100" s="50" t="n"/>
      <c r="E100" s="35" t="n"/>
      <c r="F100" s="35" t="n"/>
      <c r="G100" s="35" t="n"/>
      <c r="H100" s="35" t="n"/>
    </row>
    <row r="101">
      <c r="A101" s="35" t="n"/>
      <c r="B101" s="35" t="n"/>
      <c r="C101" s="35" t="n"/>
      <c r="D101" s="50" t="n"/>
      <c r="E101" s="35" t="n"/>
      <c r="F101" s="35" t="n"/>
      <c r="G101" s="35" t="n"/>
      <c r="H101" s="35" t="n"/>
    </row>
    <row r="102">
      <c r="A102" s="35" t="n"/>
      <c r="B102" s="35" t="n"/>
      <c r="C102" s="35" t="n"/>
      <c r="D102" s="50" t="n"/>
      <c r="E102" s="35" t="n"/>
      <c r="F102" s="35" t="n"/>
      <c r="G102" s="35" t="n"/>
      <c r="H102" s="35" t="n"/>
    </row>
    <row r="103">
      <c r="A103" s="35" t="n"/>
      <c r="B103" s="35" t="n"/>
      <c r="C103" s="35" t="n"/>
      <c r="D103" s="50" t="n"/>
      <c r="E103" s="35" t="n"/>
      <c r="F103" s="35" t="n"/>
      <c r="G103" s="35" t="n"/>
      <c r="H103" s="35" t="n"/>
    </row>
    <row r="104">
      <c r="A104" s="35" t="n"/>
      <c r="B104" s="35" t="n"/>
      <c r="C104" s="35" t="n"/>
      <c r="D104" s="50" t="n"/>
      <c r="E104" s="35" t="n"/>
      <c r="F104" s="35" t="n"/>
      <c r="G104" s="35" t="n"/>
      <c r="H104" s="35" t="n"/>
    </row>
    <row r="105">
      <c r="A105" s="35" t="n"/>
      <c r="B105" s="35" t="n"/>
      <c r="C105" s="35" t="n"/>
      <c r="D105" s="50" t="n"/>
      <c r="E105" s="35" t="n"/>
      <c r="F105" s="35" t="n"/>
      <c r="G105" s="35" t="n"/>
      <c r="H105" s="35" t="n"/>
    </row>
    <row r="106">
      <c r="A106" s="35" t="n"/>
      <c r="B106" s="35" t="n"/>
      <c r="C106" s="35" t="n"/>
      <c r="D106" s="50" t="n"/>
      <c r="E106" s="35" t="n"/>
      <c r="F106" s="35" t="n"/>
      <c r="G106" s="35" t="n"/>
      <c r="H106" s="35" t="n"/>
    </row>
    <row r="107">
      <c r="A107" s="35" t="n"/>
      <c r="B107" s="35" t="n"/>
      <c r="C107" s="35" t="n"/>
      <c r="D107" s="50" t="n"/>
      <c r="E107" s="35" t="n"/>
      <c r="F107" s="35" t="n"/>
      <c r="G107" s="35" t="n"/>
      <c r="H107" s="35" t="n"/>
    </row>
    <row r="108">
      <c r="A108" s="35" t="n"/>
      <c r="B108" s="35" t="n"/>
      <c r="C108" s="35" t="n"/>
      <c r="D108" s="50" t="n"/>
      <c r="E108" s="35" t="n"/>
      <c r="F108" s="35" t="n"/>
      <c r="G108" s="35" t="n"/>
      <c r="H108" s="35" t="n"/>
    </row>
    <row r="109">
      <c r="A109" s="35" t="n"/>
      <c r="B109" s="35" t="n"/>
      <c r="C109" s="35" t="n"/>
      <c r="D109" s="50" t="n"/>
      <c r="E109" s="35" t="n"/>
      <c r="F109" s="35" t="n"/>
      <c r="G109" s="35" t="n"/>
      <c r="H109" s="35" t="n"/>
    </row>
    <row r="110">
      <c r="A110" s="35" t="n"/>
      <c r="B110" s="35" t="n"/>
      <c r="C110" s="35" t="n"/>
      <c r="D110" s="50" t="n"/>
      <c r="E110" s="35" t="n"/>
      <c r="F110" s="35" t="n"/>
      <c r="G110" s="35" t="n"/>
      <c r="H110" s="35" t="n"/>
    </row>
    <row r="111">
      <c r="A111" s="35" t="n"/>
      <c r="B111" s="35" t="n"/>
      <c r="C111" s="35" t="n"/>
      <c r="D111" s="50" t="n"/>
      <c r="E111" s="35" t="n"/>
      <c r="F111" s="35" t="n"/>
      <c r="G111" s="35" t="n"/>
      <c r="H111" s="35" t="n"/>
    </row>
    <row r="112">
      <c r="A112" s="35" t="n"/>
      <c r="B112" s="35" t="n"/>
      <c r="C112" s="35" t="n"/>
      <c r="D112" s="50" t="n"/>
      <c r="E112" s="35" t="n"/>
      <c r="F112" s="35" t="n"/>
      <c r="G112" s="35" t="n"/>
      <c r="H112" s="35" t="n"/>
    </row>
    <row r="113">
      <c r="A113" s="35" t="n"/>
      <c r="B113" s="35" t="n"/>
      <c r="C113" s="35" t="n"/>
      <c r="D113" s="50" t="n"/>
      <c r="E113" s="35" t="n"/>
      <c r="F113" s="35" t="n"/>
      <c r="G113" s="35" t="n"/>
      <c r="H113" s="35" t="n"/>
    </row>
    <row r="114">
      <c r="A114" s="35" t="n"/>
      <c r="B114" s="35" t="n"/>
      <c r="C114" s="35" t="n"/>
      <c r="D114" s="50" t="n"/>
      <c r="E114" s="35" t="n"/>
      <c r="F114" s="35" t="n"/>
      <c r="G114" s="35" t="n"/>
      <c r="H114" s="35" t="n"/>
    </row>
    <row r="115">
      <c r="A115" s="35" t="n"/>
      <c r="B115" s="35" t="n"/>
      <c r="C115" s="35" t="n"/>
      <c r="D115" s="50" t="n"/>
      <c r="E115" s="35" t="n"/>
      <c r="F115" s="35" t="n"/>
      <c r="G115" s="35" t="n"/>
      <c r="H115" s="35" t="n"/>
    </row>
    <row r="116">
      <c r="A116" s="35" t="n"/>
      <c r="B116" s="35" t="n"/>
      <c r="C116" s="35" t="n"/>
      <c r="D116" s="50" t="n"/>
      <c r="E116" s="35" t="n"/>
      <c r="F116" s="35" t="n"/>
      <c r="G116" s="35" t="n"/>
      <c r="H116" s="35" t="n"/>
    </row>
    <row r="117">
      <c r="A117" s="35" t="n"/>
      <c r="B117" s="35" t="n"/>
      <c r="C117" s="35" t="n"/>
      <c r="D117" s="50" t="n"/>
      <c r="E117" s="35" t="n"/>
      <c r="F117" s="35" t="n"/>
      <c r="G117" s="35" t="n"/>
      <c r="H117" s="35" t="n"/>
    </row>
    <row r="118">
      <c r="A118" s="35" t="n"/>
      <c r="B118" s="35" t="n"/>
      <c r="C118" s="35" t="n"/>
      <c r="D118" s="50" t="n"/>
      <c r="E118" s="35" t="n"/>
      <c r="F118" s="35" t="n"/>
      <c r="G118" s="35" t="n"/>
      <c r="H118" s="35" t="n"/>
    </row>
    <row r="119">
      <c r="A119" s="35" t="n"/>
      <c r="B119" s="35" t="n"/>
      <c r="C119" s="35" t="n"/>
      <c r="D119" s="50" t="n"/>
      <c r="E119" s="35" t="n"/>
      <c r="F119" s="35" t="n"/>
      <c r="G119" s="35" t="n"/>
      <c r="H119" s="35" t="n"/>
    </row>
    <row r="120">
      <c r="A120" s="35" t="n"/>
      <c r="B120" s="35" t="n"/>
      <c r="C120" s="35" t="n"/>
      <c r="D120" s="50" t="n"/>
      <c r="E120" s="35" t="n"/>
      <c r="F120" s="35" t="n"/>
      <c r="G120" s="35" t="n"/>
      <c r="H120" s="35" t="n"/>
    </row>
    <row r="121">
      <c r="A121" s="35" t="n"/>
      <c r="B121" s="35" t="n"/>
      <c r="C121" s="35" t="n"/>
      <c r="D121" s="50" t="n"/>
      <c r="E121" s="35" t="n"/>
      <c r="F121" s="35" t="n"/>
      <c r="G121" s="35" t="n"/>
      <c r="H121" s="35" t="n"/>
    </row>
    <row r="122">
      <c r="A122" s="35" t="n"/>
      <c r="B122" s="35" t="n"/>
      <c r="C122" s="35" t="n"/>
      <c r="D122" s="50" t="n"/>
      <c r="E122" s="35" t="n"/>
      <c r="F122" s="35" t="n"/>
      <c r="G122" s="35" t="n"/>
      <c r="H122" s="35" t="n"/>
    </row>
    <row r="123">
      <c r="A123" s="35" t="n"/>
      <c r="B123" s="35" t="n"/>
      <c r="C123" s="35" t="n"/>
      <c r="D123" s="50" t="n"/>
      <c r="E123" s="35" t="n"/>
      <c r="F123" s="35" t="n"/>
      <c r="G123" s="35" t="n"/>
      <c r="H123" s="35" t="n"/>
    </row>
    <row r="124">
      <c r="A124" s="35" t="n"/>
      <c r="B124" s="35" t="n"/>
      <c r="C124" s="35" t="n"/>
      <c r="D124" s="50" t="n"/>
      <c r="E124" s="35" t="n"/>
      <c r="F124" s="35" t="n"/>
      <c r="G124" s="35" t="n"/>
      <c r="H124" s="35" t="n"/>
    </row>
    <row r="125">
      <c r="A125" s="35" t="n"/>
      <c r="B125" s="35" t="n"/>
      <c r="C125" s="35" t="n"/>
      <c r="D125" s="50" t="n"/>
      <c r="E125" s="35" t="n"/>
      <c r="F125" s="35" t="n"/>
      <c r="G125" s="35" t="n"/>
      <c r="H125" s="35" t="n"/>
    </row>
    <row r="126">
      <c r="A126" s="35" t="n"/>
      <c r="B126" s="35" t="n"/>
      <c r="C126" s="35" t="n"/>
      <c r="D126" s="50" t="n"/>
      <c r="E126" s="35" t="n"/>
      <c r="F126" s="35" t="n"/>
      <c r="G126" s="35" t="n"/>
      <c r="H126" s="35" t="n"/>
    </row>
    <row r="127">
      <c r="A127" s="35" t="n"/>
      <c r="B127" s="35" t="n"/>
      <c r="C127" s="35" t="n"/>
      <c r="D127" s="50" t="n"/>
      <c r="E127" s="35" t="n"/>
      <c r="F127" s="35" t="n"/>
      <c r="G127" s="35" t="n"/>
      <c r="H127" s="35" t="n"/>
    </row>
    <row r="128">
      <c r="A128" s="35" t="n"/>
      <c r="B128" s="35" t="n"/>
      <c r="C128" s="35" t="n"/>
      <c r="D128" s="50" t="n"/>
      <c r="E128" s="35" t="n"/>
      <c r="F128" s="35" t="n"/>
      <c r="G128" s="35" t="n"/>
      <c r="H128" s="35" t="n"/>
    </row>
    <row r="129">
      <c r="A129" s="35" t="n"/>
      <c r="B129" s="35" t="n"/>
      <c r="C129" s="35" t="n"/>
      <c r="D129" s="50" t="n"/>
      <c r="E129" s="35" t="n"/>
      <c r="F129" s="35" t="n"/>
      <c r="G129" s="35" t="n"/>
      <c r="H129" s="35" t="n"/>
    </row>
    <row r="130">
      <c r="A130" s="35" t="n"/>
      <c r="B130" s="35" t="n"/>
      <c r="C130" s="35" t="n"/>
      <c r="D130" s="50" t="n"/>
      <c r="E130" s="35" t="n"/>
      <c r="F130" s="35" t="n"/>
      <c r="G130" s="35" t="n"/>
      <c r="H130" s="35" t="n"/>
    </row>
    <row r="131">
      <c r="A131" s="35" t="n"/>
      <c r="B131" s="35" t="n"/>
      <c r="C131" s="35" t="n"/>
      <c r="D131" s="50" t="n"/>
      <c r="E131" s="35" t="n"/>
      <c r="F131" s="35" t="n"/>
      <c r="G131" s="35" t="n"/>
      <c r="H131" s="35" t="n"/>
    </row>
    <row r="132">
      <c r="A132" s="35" t="n"/>
      <c r="B132" s="35" t="n"/>
      <c r="C132" s="35" t="n"/>
      <c r="D132" s="50" t="n"/>
      <c r="E132" s="35" t="n"/>
      <c r="F132" s="35" t="n"/>
      <c r="G132" s="35" t="n"/>
      <c r="H132" s="35" t="n"/>
    </row>
    <row r="133">
      <c r="A133" s="35" t="n"/>
      <c r="B133" s="35" t="n"/>
      <c r="C133" s="35" t="n"/>
      <c r="D133" s="50" t="n"/>
      <c r="E133" s="35" t="n"/>
      <c r="F133" s="35" t="n"/>
      <c r="G133" s="35" t="n"/>
      <c r="H133" s="35" t="n"/>
    </row>
    <row r="134">
      <c r="A134" s="35" t="n"/>
      <c r="B134" s="35" t="n"/>
      <c r="C134" s="35" t="n"/>
      <c r="D134" s="50" t="n"/>
      <c r="E134" s="35" t="n"/>
      <c r="F134" s="35" t="n"/>
      <c r="G134" s="35" t="n"/>
      <c r="H134" s="35" t="n"/>
    </row>
    <row r="135">
      <c r="A135" s="35" t="n"/>
      <c r="B135" s="35" t="n"/>
      <c r="C135" s="35" t="n"/>
      <c r="D135" s="50" t="n"/>
      <c r="E135" s="35" t="n"/>
      <c r="F135" s="35" t="n"/>
      <c r="G135" s="35" t="n"/>
      <c r="H135" s="35" t="n"/>
    </row>
    <row r="136">
      <c r="A136" s="35" t="n"/>
      <c r="B136" s="35" t="n"/>
      <c r="C136" s="35" t="n"/>
      <c r="D136" s="50" t="n"/>
      <c r="E136" s="35" t="n"/>
      <c r="F136" s="35" t="n"/>
      <c r="G136" s="35" t="n"/>
      <c r="H136" s="35" t="n"/>
    </row>
    <row r="137">
      <c r="A137" s="35" t="n"/>
      <c r="B137" s="35" t="n"/>
      <c r="C137" s="35" t="n"/>
      <c r="D137" s="50" t="n"/>
      <c r="E137" s="35" t="n"/>
      <c r="F137" s="35" t="n"/>
      <c r="G137" s="35" t="n"/>
      <c r="H137" s="35" t="n"/>
    </row>
    <row r="138">
      <c r="A138" s="35" t="n"/>
      <c r="B138" s="35" t="n"/>
      <c r="C138" s="35" t="n"/>
      <c r="D138" s="50" t="n"/>
      <c r="E138" s="35" t="n"/>
      <c r="F138" s="35" t="n"/>
      <c r="G138" s="35" t="n"/>
      <c r="H138" s="35" t="n"/>
    </row>
    <row r="139">
      <c r="A139" s="35" t="n"/>
      <c r="B139" s="35" t="n"/>
      <c r="C139" s="35" t="n"/>
      <c r="D139" s="50" t="n"/>
      <c r="E139" s="35" t="n"/>
      <c r="F139" s="35" t="n"/>
      <c r="G139" s="35" t="n"/>
      <c r="H139" s="35" t="n"/>
    </row>
    <row r="140">
      <c r="A140" s="35" t="n"/>
      <c r="B140" s="35" t="n"/>
      <c r="C140" s="35" t="n"/>
      <c r="D140" s="50" t="n"/>
      <c r="E140" s="35" t="n"/>
      <c r="F140" s="35" t="n"/>
      <c r="G140" s="35" t="n"/>
      <c r="H140" s="35" t="n"/>
    </row>
    <row r="141">
      <c r="A141" s="35" t="n"/>
      <c r="B141" s="35" t="n"/>
      <c r="C141" s="35" t="n"/>
      <c r="D141" s="50" t="n"/>
      <c r="E141" s="35" t="n"/>
      <c r="F141" s="35" t="n"/>
      <c r="G141" s="35" t="n"/>
      <c r="H141" s="35" t="n"/>
    </row>
    <row r="142">
      <c r="A142" s="35" t="n"/>
      <c r="B142" s="35" t="n"/>
      <c r="C142" s="35" t="n"/>
      <c r="D142" s="50" t="n"/>
      <c r="E142" s="35" t="n"/>
      <c r="F142" s="35" t="n"/>
      <c r="G142" s="35" t="n"/>
      <c r="H142" s="35" t="n"/>
    </row>
    <row r="143">
      <c r="A143" s="35" t="n"/>
      <c r="B143" s="35" t="n"/>
      <c r="C143" s="35" t="n"/>
      <c r="D143" s="50" t="n"/>
      <c r="E143" s="35" t="n"/>
      <c r="F143" s="35" t="n"/>
      <c r="G143" s="35" t="n"/>
      <c r="H143" s="35" t="n"/>
    </row>
    <row r="144">
      <c r="A144" s="35" t="n"/>
      <c r="B144" s="35" t="n"/>
      <c r="C144" s="35" t="n"/>
      <c r="D144" s="50" t="n"/>
      <c r="E144" s="35" t="n"/>
      <c r="F144" s="35" t="n"/>
      <c r="G144" s="35" t="n"/>
      <c r="H144" s="35" t="n"/>
    </row>
    <row r="145">
      <c r="A145" s="35" t="n"/>
      <c r="B145" s="35" t="n"/>
      <c r="C145" s="35" t="n"/>
      <c r="D145" s="50" t="n"/>
      <c r="E145" s="35" t="n"/>
      <c r="F145" s="35" t="n"/>
      <c r="G145" s="35" t="n"/>
      <c r="H145" s="35" t="n"/>
    </row>
    <row r="146">
      <c r="A146" s="35" t="n"/>
      <c r="B146" s="35" t="n"/>
      <c r="C146" s="35" t="n"/>
      <c r="D146" s="50" t="n"/>
      <c r="E146" s="35" t="n"/>
      <c r="F146" s="35" t="n"/>
      <c r="G146" s="35" t="n"/>
      <c r="H146" s="35" t="n"/>
    </row>
    <row r="147">
      <c r="A147" s="35" t="n"/>
      <c r="B147" s="35" t="n"/>
      <c r="C147" s="35" t="n"/>
      <c r="D147" s="50" t="n"/>
      <c r="E147" s="35" t="n"/>
      <c r="F147" s="35" t="n"/>
      <c r="G147" s="35" t="n"/>
      <c r="H147" s="35" t="n"/>
    </row>
    <row r="148">
      <c r="A148" s="35" t="n"/>
      <c r="B148" s="35" t="n"/>
      <c r="C148" s="35" t="n"/>
      <c r="D148" s="50" t="n"/>
      <c r="E148" s="35" t="n"/>
      <c r="F148" s="35" t="n"/>
      <c r="G148" s="35" t="n"/>
      <c r="H148" s="35" t="n"/>
    </row>
    <row r="149">
      <c r="A149" s="35" t="n"/>
      <c r="B149" s="35" t="n"/>
      <c r="C149" s="35" t="n"/>
      <c r="D149" s="50" t="n"/>
      <c r="E149" s="35" t="n"/>
      <c r="F149" s="35" t="n"/>
      <c r="G149" s="35" t="n"/>
      <c r="H149" s="35" t="n"/>
    </row>
    <row r="150">
      <c r="A150" s="35" t="n"/>
      <c r="B150" s="35" t="n"/>
      <c r="C150" s="35" t="n"/>
      <c r="D150" s="50" t="n"/>
      <c r="E150" s="35" t="n"/>
      <c r="F150" s="35" t="n"/>
      <c r="G150" s="35" t="n"/>
      <c r="H150" s="35" t="n"/>
    </row>
    <row r="151">
      <c r="A151" s="35" t="n"/>
      <c r="B151" s="35" t="n"/>
      <c r="C151" s="35" t="n"/>
      <c r="D151" s="50" t="n"/>
      <c r="E151" s="35" t="n"/>
      <c r="F151" s="35" t="n"/>
      <c r="G151" s="35" t="n"/>
      <c r="H151" s="35" t="n"/>
    </row>
    <row r="152">
      <c r="A152" s="35" t="n"/>
      <c r="B152" s="35" t="n"/>
      <c r="C152" s="35" t="n"/>
      <c r="D152" s="50" t="n"/>
      <c r="E152" s="35" t="n"/>
      <c r="F152" s="35" t="n"/>
      <c r="G152" s="35" t="n"/>
      <c r="H152" s="35" t="n"/>
    </row>
    <row r="153">
      <c r="A153" s="35" t="n"/>
      <c r="B153" s="35" t="n"/>
      <c r="C153" s="35" t="n"/>
      <c r="D153" s="50" t="n"/>
      <c r="E153" s="35" t="n"/>
      <c r="F153" s="35" t="n"/>
      <c r="G153" s="35" t="n"/>
      <c r="H153" s="35" t="n"/>
    </row>
    <row r="154">
      <c r="A154" s="35" t="n"/>
      <c r="B154" s="35" t="n"/>
      <c r="C154" s="35" t="n"/>
      <c r="D154" s="50" t="n"/>
      <c r="E154" s="35" t="n"/>
      <c r="F154" s="35" t="n"/>
      <c r="G154" s="35" t="n"/>
      <c r="H154" s="35" t="n"/>
    </row>
    <row r="155">
      <c r="A155" s="35" t="n"/>
      <c r="B155" s="35" t="n"/>
      <c r="C155" s="35" t="n"/>
      <c r="D155" s="50" t="n"/>
      <c r="E155" s="35" t="n"/>
      <c r="F155" s="35" t="n"/>
      <c r="G155" s="35" t="n"/>
      <c r="H155" s="35" t="n"/>
    </row>
    <row r="156">
      <c r="A156" s="35" t="n"/>
      <c r="B156" s="35" t="n"/>
      <c r="C156" s="35" t="n"/>
      <c r="D156" s="50" t="n"/>
      <c r="E156" s="35" t="n"/>
      <c r="F156" s="35" t="n"/>
      <c r="G156" s="35" t="n"/>
      <c r="H156" s="35" t="n"/>
    </row>
    <row r="157">
      <c r="A157" s="35" t="n"/>
      <c r="B157" s="35" t="n"/>
      <c r="C157" s="35" t="n"/>
      <c r="D157" s="50" t="n"/>
      <c r="E157" s="35" t="n"/>
      <c r="F157" s="35" t="n"/>
      <c r="G157" s="35" t="n"/>
      <c r="H157" s="35" t="n"/>
    </row>
    <row r="158">
      <c r="A158" s="35" t="n"/>
      <c r="B158" s="35" t="n"/>
      <c r="C158" s="35" t="n"/>
      <c r="D158" s="50" t="n"/>
      <c r="E158" s="35" t="n"/>
      <c r="F158" s="35" t="n"/>
      <c r="G158" s="35" t="n"/>
      <c r="H158" s="35" t="n"/>
    </row>
    <row r="159">
      <c r="A159" s="35" t="n"/>
      <c r="B159" s="35" t="n"/>
      <c r="C159" s="35" t="n"/>
      <c r="D159" s="50" t="n"/>
      <c r="E159" s="35" t="n"/>
      <c r="F159" s="35" t="n"/>
      <c r="G159" s="35" t="n"/>
      <c r="H159" s="35" t="n"/>
    </row>
    <row r="160">
      <c r="A160" s="35" t="n"/>
      <c r="B160" s="35" t="n"/>
      <c r="C160" s="35" t="n"/>
      <c r="D160" s="50" t="n"/>
      <c r="E160" s="35" t="n"/>
      <c r="F160" s="35" t="n"/>
      <c r="G160" s="35" t="n"/>
      <c r="H160" s="35" t="n"/>
    </row>
    <row r="161">
      <c r="A161" s="35" t="n"/>
      <c r="B161" s="35" t="n"/>
      <c r="C161" s="35" t="n"/>
      <c r="D161" s="50" t="n"/>
      <c r="E161" s="35" t="n"/>
      <c r="F161" s="35" t="n"/>
      <c r="G161" s="35" t="n"/>
      <c r="H161" s="35" t="n"/>
    </row>
    <row r="162">
      <c r="A162" s="35" t="n"/>
      <c r="B162" s="35" t="n"/>
      <c r="C162" s="35" t="n"/>
      <c r="D162" s="50" t="n"/>
      <c r="E162" s="35" t="n"/>
      <c r="F162" s="35" t="n"/>
      <c r="G162" s="35" t="n"/>
      <c r="H162" s="35" t="n"/>
    </row>
    <row r="163">
      <c r="A163" s="35" t="n"/>
      <c r="B163" s="35" t="n"/>
      <c r="C163" s="35" t="n"/>
      <c r="D163" s="50" t="n"/>
      <c r="E163" s="35" t="n"/>
      <c r="F163" s="35" t="n"/>
      <c r="G163" s="35" t="n"/>
      <c r="H163" s="35" t="n"/>
    </row>
    <row r="164">
      <c r="A164" s="35" t="n"/>
      <c r="B164" s="35" t="n"/>
      <c r="C164" s="35" t="n"/>
      <c r="D164" s="50" t="n"/>
      <c r="E164" s="35" t="n"/>
      <c r="F164" s="35" t="n"/>
      <c r="G164" s="35" t="n"/>
      <c r="H164" s="35" t="n"/>
    </row>
    <row r="165">
      <c r="A165" s="35" t="n"/>
      <c r="B165" s="35" t="n"/>
      <c r="C165" s="35" t="n"/>
      <c r="D165" s="50" t="n"/>
      <c r="E165" s="35" t="n"/>
      <c r="F165" s="35" t="n"/>
      <c r="G165" s="35" t="n"/>
      <c r="H165" s="35" t="n"/>
    </row>
    <row r="166">
      <c r="A166" s="35" t="n"/>
      <c r="B166" s="35" t="n"/>
      <c r="C166" s="35" t="n"/>
      <c r="D166" s="50" t="n"/>
      <c r="E166" s="35" t="n"/>
      <c r="F166" s="35" t="n"/>
      <c r="G166" s="35" t="n"/>
      <c r="H166" s="35" t="n"/>
    </row>
    <row r="167">
      <c r="A167" s="35" t="n"/>
      <c r="B167" s="35" t="n"/>
      <c r="C167" s="35" t="n"/>
      <c r="D167" s="50" t="n"/>
      <c r="E167" s="35" t="n"/>
      <c r="F167" s="35" t="n"/>
      <c r="G167" s="35" t="n"/>
      <c r="H167" s="35" t="n"/>
    </row>
    <row r="168">
      <c r="A168" s="35" t="n"/>
      <c r="B168" s="35" t="n"/>
      <c r="C168" s="35" t="n"/>
      <c r="D168" s="50" t="n"/>
      <c r="E168" s="35" t="n"/>
      <c r="F168" s="35" t="n"/>
      <c r="G168" s="35" t="n"/>
      <c r="H168" s="35" t="n"/>
    </row>
    <row r="169">
      <c r="A169" s="35" t="n"/>
      <c r="B169" s="35" t="n"/>
      <c r="C169" s="35" t="n"/>
      <c r="D169" s="50" t="n"/>
      <c r="E169" s="35" t="n"/>
      <c r="F169" s="35" t="n"/>
      <c r="G169" s="35" t="n"/>
      <c r="H169" s="35" t="n"/>
    </row>
    <row r="170">
      <c r="A170" s="35" t="n"/>
      <c r="B170" s="35" t="n"/>
      <c r="C170" s="35" t="n"/>
      <c r="D170" s="50" t="n"/>
      <c r="E170" s="35" t="n"/>
      <c r="F170" s="35" t="n"/>
      <c r="G170" s="35" t="n"/>
      <c r="H170" s="35" t="n"/>
    </row>
    <row r="171">
      <c r="A171" s="35" t="n"/>
      <c r="B171" s="35" t="n"/>
      <c r="C171" s="35" t="n"/>
      <c r="D171" s="50" t="n"/>
      <c r="E171" s="35" t="n"/>
      <c r="F171" s="35" t="n"/>
      <c r="G171" s="35" t="n"/>
      <c r="H171" s="35" t="n"/>
    </row>
    <row r="172">
      <c r="A172" s="35" t="n"/>
      <c r="B172" s="35" t="n"/>
      <c r="C172" s="35" t="n"/>
      <c r="D172" s="50" t="n"/>
      <c r="E172" s="35" t="n"/>
      <c r="F172" s="35" t="n"/>
      <c r="G172" s="35" t="n"/>
      <c r="H172" s="35" t="n"/>
    </row>
    <row r="173">
      <c r="A173" s="35" t="n"/>
      <c r="B173" s="35" t="n"/>
      <c r="C173" s="35" t="n"/>
      <c r="D173" s="50" t="n"/>
      <c r="E173" s="35" t="n"/>
      <c r="F173" s="35" t="n"/>
      <c r="G173" s="35" t="n"/>
      <c r="H173" s="35" t="n"/>
    </row>
    <row r="174">
      <c r="A174" s="35" t="n"/>
      <c r="B174" s="35" t="n"/>
      <c r="C174" s="35" t="n"/>
      <c r="D174" s="50" t="n"/>
      <c r="E174" s="35" t="n"/>
      <c r="F174" s="35" t="n"/>
      <c r="G174" s="35" t="n"/>
      <c r="H174" s="35" t="n"/>
    </row>
    <row r="175">
      <c r="A175" s="35" t="n"/>
      <c r="B175" s="35" t="n"/>
      <c r="C175" s="35" t="n"/>
      <c r="D175" s="50" t="n"/>
      <c r="E175" s="35" t="n"/>
      <c r="F175" s="35" t="n"/>
      <c r="G175" s="35" t="n"/>
      <c r="H175" s="35" t="n"/>
    </row>
    <row r="176">
      <c r="A176" s="35" t="n"/>
      <c r="B176" s="35" t="n"/>
      <c r="C176" s="35" t="n"/>
      <c r="D176" s="50" t="n"/>
      <c r="E176" s="35" t="n"/>
      <c r="F176" s="35" t="n"/>
      <c r="G176" s="35" t="n"/>
      <c r="H176" s="35" t="n"/>
    </row>
    <row r="177">
      <c r="A177" s="35" t="n"/>
      <c r="B177" s="35" t="n"/>
      <c r="C177" s="35" t="n"/>
      <c r="D177" s="50" t="n"/>
      <c r="E177" s="35" t="n"/>
      <c r="F177" s="35" t="n"/>
      <c r="G177" s="35" t="n"/>
      <c r="H177" s="35" t="n"/>
    </row>
    <row r="178">
      <c r="A178" s="35" t="n"/>
      <c r="B178" s="35" t="n"/>
      <c r="C178" s="35" t="n"/>
      <c r="D178" s="50" t="n"/>
      <c r="E178" s="35" t="n"/>
      <c r="F178" s="35" t="n"/>
      <c r="G178" s="35" t="n"/>
      <c r="H178" s="35" t="n"/>
    </row>
    <row r="179">
      <c r="A179" s="35" t="n"/>
      <c r="B179" s="35" t="n"/>
      <c r="C179" s="35" t="n"/>
      <c r="D179" s="50" t="n"/>
      <c r="E179" s="35" t="n"/>
      <c r="F179" s="35" t="n"/>
      <c r="G179" s="35" t="n"/>
      <c r="H179" s="35" t="n"/>
    </row>
    <row r="180">
      <c r="A180" s="35" t="n"/>
      <c r="B180" s="35" t="n"/>
      <c r="C180" s="35" t="n"/>
      <c r="D180" s="50" t="n"/>
      <c r="E180" s="35" t="n"/>
      <c r="F180" s="35" t="n"/>
      <c r="G180" s="35" t="n"/>
      <c r="H180" s="35" t="n"/>
    </row>
    <row r="181">
      <c r="A181" s="35" t="n"/>
      <c r="B181" s="35" t="n"/>
      <c r="C181" s="35" t="n"/>
      <c r="D181" s="50" t="n"/>
      <c r="E181" s="35" t="n"/>
      <c r="F181" s="35" t="n"/>
      <c r="G181" s="35" t="n"/>
      <c r="H181" s="35" t="n"/>
    </row>
    <row r="182">
      <c r="A182" s="35" t="n"/>
      <c r="B182" s="35" t="n"/>
      <c r="C182" s="35" t="n"/>
      <c r="D182" s="50" t="n"/>
      <c r="E182" s="35" t="n"/>
      <c r="F182" s="35" t="n"/>
      <c r="G182" s="35" t="n"/>
      <c r="H182" s="35" t="n"/>
    </row>
    <row r="183">
      <c r="A183" s="35" t="n"/>
      <c r="B183" s="35" t="n"/>
      <c r="C183" s="35" t="n"/>
      <c r="D183" s="50" t="n"/>
      <c r="E183" s="35" t="n"/>
      <c r="F183" s="35" t="n"/>
      <c r="G183" s="35" t="n"/>
      <c r="H183" s="35" t="n"/>
    </row>
    <row r="184">
      <c r="A184" s="35" t="n"/>
      <c r="B184" s="35" t="n"/>
      <c r="C184" s="35" t="n"/>
      <c r="D184" s="50" t="n"/>
      <c r="E184" s="35" t="n"/>
      <c r="F184" s="35" t="n"/>
      <c r="G184" s="35" t="n"/>
      <c r="H184" s="35" t="n"/>
    </row>
    <row r="185">
      <c r="A185" s="35" t="n"/>
      <c r="B185" s="35" t="n"/>
      <c r="C185" s="35" t="n"/>
      <c r="D185" s="50" t="n"/>
      <c r="E185" s="35" t="n"/>
      <c r="F185" s="35" t="n"/>
      <c r="G185" s="35" t="n"/>
      <c r="H185" s="35" t="n"/>
    </row>
    <row r="186">
      <c r="A186" s="35" t="n"/>
      <c r="B186" s="35" t="n"/>
      <c r="C186" s="35" t="n"/>
      <c r="D186" s="50" t="n"/>
      <c r="E186" s="35" t="n"/>
      <c r="F186" s="35" t="n"/>
      <c r="G186" s="35" t="n"/>
      <c r="H186" s="35" t="n"/>
    </row>
    <row r="187">
      <c r="A187" s="35" t="n"/>
      <c r="B187" s="35" t="n"/>
      <c r="C187" s="35" t="n"/>
      <c r="D187" s="50" t="n"/>
      <c r="E187" s="35" t="n"/>
      <c r="F187" s="35" t="n"/>
      <c r="G187" s="35" t="n"/>
      <c r="H187" s="35" t="n"/>
    </row>
    <row r="188">
      <c r="A188" s="35" t="n"/>
      <c r="B188" s="35" t="n"/>
      <c r="C188" s="35" t="n"/>
      <c r="D188" s="50" t="n"/>
      <c r="E188" s="35" t="n"/>
      <c r="F188" s="35" t="n"/>
      <c r="G188" s="35" t="n"/>
      <c r="H188" s="35" t="n"/>
    </row>
    <row r="189">
      <c r="A189" s="35" t="n"/>
      <c r="B189" s="35" t="n"/>
      <c r="C189" s="35" t="n"/>
      <c r="D189" s="50" t="n"/>
      <c r="E189" s="35" t="n"/>
      <c r="F189" s="35" t="n"/>
      <c r="G189" s="35" t="n"/>
      <c r="H189" s="35" t="n"/>
    </row>
    <row r="190">
      <c r="A190" s="35" t="n"/>
      <c r="B190" s="35" t="n"/>
      <c r="C190" s="35" t="n"/>
      <c r="D190" s="50" t="n"/>
      <c r="E190" s="35" t="n"/>
      <c r="F190" s="35" t="n"/>
      <c r="G190" s="35" t="n"/>
      <c r="H190" s="35" t="n"/>
    </row>
    <row r="191">
      <c r="A191" s="35" t="n"/>
      <c r="B191" s="35" t="n"/>
      <c r="C191" s="35" t="n"/>
      <c r="D191" s="50" t="n"/>
      <c r="E191" s="35" t="n"/>
      <c r="F191" s="35" t="n"/>
      <c r="G191" s="35" t="n"/>
      <c r="H191" s="35" t="n"/>
    </row>
    <row r="192">
      <c r="A192" s="35" t="n"/>
      <c r="B192" s="35" t="n"/>
      <c r="C192" s="35" t="n"/>
      <c r="D192" s="50" t="n"/>
      <c r="E192" s="35" t="n"/>
      <c r="F192" s="35" t="n"/>
      <c r="G192" s="35" t="n"/>
      <c r="H192" s="35" t="n"/>
    </row>
    <row r="193">
      <c r="A193" s="35" t="n"/>
      <c r="B193" s="35" t="n"/>
      <c r="C193" s="35" t="n"/>
      <c r="D193" s="50" t="n"/>
      <c r="E193" s="35" t="n"/>
      <c r="F193" s="35" t="n"/>
      <c r="G193" s="35" t="n"/>
      <c r="H193" s="35" t="n"/>
    </row>
    <row r="194">
      <c r="A194" s="35" t="n"/>
      <c r="B194" s="35" t="n"/>
      <c r="C194" s="35" t="n"/>
      <c r="D194" s="50" t="n"/>
      <c r="E194" s="35" t="n"/>
      <c r="F194" s="35" t="n"/>
      <c r="G194" s="35" t="n"/>
      <c r="H194" s="35" t="n"/>
    </row>
    <row r="195">
      <c r="A195" s="35" t="n"/>
      <c r="B195" s="35" t="n"/>
      <c r="C195" s="35" t="n"/>
      <c r="D195" s="50" t="n"/>
      <c r="E195" s="35" t="n"/>
      <c r="F195" s="35" t="n"/>
      <c r="G195" s="35" t="n"/>
      <c r="H195" s="35" t="n"/>
    </row>
    <row r="196">
      <c r="A196" s="35" t="n"/>
      <c r="B196" s="35" t="n"/>
      <c r="C196" s="35" t="n"/>
      <c r="D196" s="50" t="n"/>
      <c r="E196" s="35" t="n"/>
      <c r="F196" s="35" t="n"/>
      <c r="G196" s="35" t="n"/>
      <c r="H196" s="35" t="n"/>
    </row>
    <row r="197">
      <c r="A197" s="35" t="n"/>
      <c r="B197" s="35" t="n"/>
      <c r="C197" s="35" t="n"/>
      <c r="D197" s="50" t="n"/>
      <c r="E197" s="35" t="n"/>
      <c r="F197" s="35" t="n"/>
      <c r="G197" s="35" t="n"/>
      <c r="H197" s="35" t="n"/>
    </row>
    <row r="198">
      <c r="A198" s="35" t="n"/>
      <c r="B198" s="35" t="n"/>
      <c r="C198" s="35" t="n"/>
      <c r="D198" s="50" t="n"/>
      <c r="E198" s="35" t="n"/>
      <c r="F198" s="35" t="n"/>
      <c r="G198" s="35" t="n"/>
      <c r="H198" s="35" t="n"/>
    </row>
    <row r="199">
      <c r="A199" s="35" t="n"/>
      <c r="B199" s="35" t="n"/>
      <c r="C199" s="35" t="n"/>
      <c r="D199" s="50" t="n"/>
      <c r="E199" s="35" t="n"/>
      <c r="F199" s="35" t="n"/>
      <c r="G199" s="35" t="n"/>
      <c r="H199" s="35" t="n"/>
    </row>
    <row r="200">
      <c r="A200" s="35" t="n"/>
      <c r="B200" s="35" t="n"/>
      <c r="C200" s="35" t="n"/>
      <c r="D200" s="50" t="n"/>
      <c r="E200" s="35" t="n"/>
      <c r="F200" s="35" t="n"/>
      <c r="G200" s="35" t="n"/>
      <c r="H200" s="35" t="n"/>
    </row>
    <row r="201">
      <c r="A201" s="35" t="n"/>
      <c r="B201" s="35" t="n"/>
      <c r="C201" s="35" t="n"/>
      <c r="D201" s="50" t="n"/>
      <c r="E201" s="35" t="n"/>
      <c r="F201" s="35" t="n"/>
      <c r="G201" s="35" t="n"/>
      <c r="H201" s="35" t="n"/>
    </row>
    <row r="202">
      <c r="A202" s="35" t="n"/>
      <c r="B202" s="35" t="n"/>
      <c r="C202" s="35" t="n"/>
      <c r="D202" s="50" t="n"/>
      <c r="E202" s="35" t="n"/>
      <c r="F202" s="35" t="n"/>
      <c r="G202" s="35" t="n"/>
      <c r="H202" s="35" t="n"/>
    </row>
    <row r="203">
      <c r="A203" s="35" t="n"/>
      <c r="B203" s="35" t="n"/>
      <c r="C203" s="35" t="n"/>
      <c r="D203" s="50" t="n"/>
      <c r="E203" s="35" t="n"/>
      <c r="F203" s="35" t="n"/>
      <c r="G203" s="35" t="n"/>
      <c r="H203" s="35" t="n"/>
    </row>
    <row r="204">
      <c r="A204" s="35" t="n"/>
      <c r="B204" s="35" t="n"/>
      <c r="C204" s="35" t="n"/>
      <c r="D204" s="50" t="n"/>
      <c r="E204" s="35" t="n"/>
      <c r="F204" s="35" t="n"/>
      <c r="G204" s="35" t="n"/>
      <c r="H204" s="35" t="n"/>
    </row>
    <row r="205">
      <c r="A205" s="35" t="n"/>
      <c r="B205" s="35" t="n"/>
      <c r="C205" s="35" t="n"/>
      <c r="D205" s="50" t="n"/>
      <c r="E205" s="35" t="n"/>
      <c r="F205" s="35" t="n"/>
      <c r="G205" s="35" t="n"/>
      <c r="H205" s="35" t="n"/>
    </row>
    <row r="206">
      <c r="A206" s="35" t="n"/>
      <c r="B206" s="35" t="n"/>
      <c r="C206" s="35" t="n"/>
      <c r="D206" s="50" t="n"/>
      <c r="E206" s="35" t="n"/>
      <c r="F206" s="35" t="n"/>
      <c r="G206" s="35" t="n"/>
      <c r="H206" s="35" t="n"/>
    </row>
    <row r="207">
      <c r="A207" s="35" t="n"/>
      <c r="B207" s="35" t="n"/>
      <c r="C207" s="35" t="n"/>
      <c r="D207" s="50" t="n"/>
      <c r="E207" s="35" t="n"/>
      <c r="F207" s="35" t="n"/>
      <c r="G207" s="35" t="n"/>
      <c r="H207" s="35" t="n"/>
    </row>
    <row r="208">
      <c r="A208" s="35" t="n"/>
      <c r="B208" s="35" t="n"/>
      <c r="C208" s="35" t="n"/>
      <c r="D208" s="50" t="n"/>
      <c r="E208" s="35" t="n"/>
      <c r="F208" s="35" t="n"/>
      <c r="G208" s="35" t="n"/>
      <c r="H208" s="35" t="n"/>
    </row>
    <row r="209">
      <c r="A209" s="35" t="n"/>
      <c r="B209" s="35" t="n"/>
      <c r="C209" s="35" t="n"/>
      <c r="D209" s="50" t="n"/>
      <c r="E209" s="35" t="n"/>
      <c r="F209" s="35" t="n"/>
      <c r="G209" s="35" t="n"/>
      <c r="H209" s="35" t="n"/>
    </row>
    <row r="210">
      <c r="A210" s="35" t="n"/>
      <c r="B210" s="35" t="n"/>
      <c r="C210" s="35" t="n"/>
      <c r="D210" s="50" t="n"/>
      <c r="E210" s="35" t="n"/>
      <c r="F210" s="35" t="n"/>
      <c r="G210" s="35" t="n"/>
      <c r="H210" s="35" t="n"/>
    </row>
    <row r="211">
      <c r="A211" s="35" t="n"/>
      <c r="B211" s="35" t="n"/>
      <c r="C211" s="35" t="n"/>
      <c r="D211" s="50" t="n"/>
      <c r="E211" s="35" t="n"/>
      <c r="F211" s="35" t="n"/>
      <c r="G211" s="35" t="n"/>
      <c r="H211" s="35" t="n"/>
    </row>
    <row r="212">
      <c r="A212" s="35" t="n"/>
      <c r="B212" s="35" t="n"/>
      <c r="C212" s="35" t="n"/>
      <c r="D212" s="50" t="n"/>
      <c r="E212" s="35" t="n"/>
      <c r="F212" s="35" t="n"/>
      <c r="G212" s="35" t="n"/>
      <c r="H212" s="35" t="n"/>
    </row>
    <row r="213">
      <c r="A213" s="35" t="n"/>
      <c r="B213" s="35" t="n"/>
      <c r="C213" s="35" t="n"/>
      <c r="D213" s="50" t="n"/>
      <c r="E213" s="35" t="n"/>
      <c r="F213" s="35" t="n"/>
      <c r="G213" s="35" t="n"/>
      <c r="H213" s="35" t="n"/>
    </row>
    <row r="214">
      <c r="A214" s="35" t="n"/>
      <c r="B214" s="35" t="n"/>
      <c r="C214" s="35" t="n"/>
      <c r="D214" s="50" t="n"/>
      <c r="E214" s="35" t="n"/>
      <c r="F214" s="35" t="n"/>
      <c r="G214" s="35" t="n"/>
      <c r="H214" s="35" t="n"/>
    </row>
    <row r="215">
      <c r="A215" s="35" t="n"/>
      <c r="B215" s="35" t="n"/>
      <c r="C215" s="35" t="n"/>
      <c r="D215" s="50" t="n"/>
      <c r="E215" s="35" t="n"/>
      <c r="F215" s="35" t="n"/>
      <c r="G215" s="35" t="n"/>
      <c r="H215" s="35" t="n"/>
    </row>
    <row r="216">
      <c r="A216" s="35" t="n"/>
      <c r="B216" s="35" t="n"/>
      <c r="C216" s="35" t="n"/>
      <c r="D216" s="50" t="n"/>
      <c r="E216" s="35" t="n"/>
      <c r="F216" s="35" t="n"/>
      <c r="G216" s="35" t="n"/>
      <c r="H216" s="35" t="n"/>
    </row>
    <row r="217">
      <c r="A217" s="35" t="n"/>
      <c r="B217" s="35" t="n"/>
      <c r="C217" s="35" t="n"/>
      <c r="D217" s="50" t="n"/>
      <c r="E217" s="35" t="n"/>
      <c r="F217" s="35" t="n"/>
      <c r="G217" s="35" t="n"/>
      <c r="H217" s="35" t="n"/>
    </row>
    <row r="218">
      <c r="A218" s="35" t="n"/>
      <c r="B218" s="35" t="n"/>
      <c r="C218" s="35" t="n"/>
      <c r="D218" s="50" t="n"/>
      <c r="E218" s="35" t="n"/>
      <c r="F218" s="35" t="n"/>
      <c r="G218" s="35" t="n"/>
      <c r="H218" s="35" t="n"/>
    </row>
    <row r="219">
      <c r="A219" s="35" t="n"/>
      <c r="B219" s="35" t="n"/>
      <c r="C219" s="35" t="n"/>
      <c r="D219" s="50" t="n"/>
      <c r="E219" s="35" t="n"/>
      <c r="F219" s="35" t="n"/>
      <c r="G219" s="35" t="n"/>
      <c r="H219" s="35" t="n"/>
    </row>
    <row r="220">
      <c r="A220" s="35" t="n"/>
      <c r="B220" s="35" t="n"/>
      <c r="C220" s="35" t="n"/>
      <c r="D220" s="50" t="n"/>
      <c r="E220" s="35" t="n"/>
      <c r="F220" s="35" t="n"/>
      <c r="G220" s="35" t="n"/>
      <c r="H220" s="35" t="n"/>
    </row>
    <row r="221">
      <c r="A221" s="35" t="n"/>
      <c r="B221" s="35" t="n"/>
      <c r="C221" s="35" t="n"/>
      <c r="D221" s="50" t="n"/>
      <c r="E221" s="35" t="n"/>
      <c r="F221" s="35" t="n"/>
      <c r="G221" s="35" t="n"/>
      <c r="H221" s="35" t="n"/>
    </row>
    <row r="222">
      <c r="A222" s="35" t="n"/>
      <c r="B222" s="35" t="n"/>
      <c r="C222" s="35" t="n"/>
      <c r="D222" s="50" t="n"/>
      <c r="E222" s="35" t="n"/>
      <c r="F222" s="35" t="n"/>
      <c r="G222" s="35" t="n"/>
      <c r="H222" s="35" t="n"/>
    </row>
    <row r="223">
      <c r="A223" s="35" t="n"/>
      <c r="B223" s="35" t="n"/>
      <c r="C223" s="35" t="n"/>
      <c r="D223" s="50" t="n"/>
      <c r="E223" s="35" t="n"/>
      <c r="F223" s="35" t="n"/>
      <c r="G223" s="35" t="n"/>
      <c r="H223" s="35" t="n"/>
    </row>
    <row r="224">
      <c r="A224" s="35" t="n"/>
      <c r="B224" s="35" t="n"/>
      <c r="C224" s="35" t="n"/>
      <c r="D224" s="50" t="n"/>
      <c r="E224" s="35" t="n"/>
      <c r="F224" s="35" t="n"/>
      <c r="G224" s="35" t="n"/>
      <c r="H224" s="35" t="n"/>
    </row>
    <row r="225">
      <c r="A225" s="35" t="n"/>
      <c r="B225" s="35" t="n"/>
      <c r="C225" s="35" t="n"/>
      <c r="D225" s="50" t="n"/>
      <c r="E225" s="35" t="n"/>
      <c r="F225" s="35" t="n"/>
      <c r="G225" s="35" t="n"/>
      <c r="H225" s="35" t="n"/>
    </row>
    <row r="226">
      <c r="A226" s="35" t="n"/>
      <c r="B226" s="35" t="n"/>
      <c r="C226" s="35" t="n"/>
      <c r="D226" s="50" t="n"/>
      <c r="E226" s="35" t="n"/>
      <c r="F226" s="35" t="n"/>
      <c r="G226" s="35" t="n"/>
      <c r="H226" s="35" t="n"/>
    </row>
    <row r="227">
      <c r="A227" s="35" t="n"/>
      <c r="B227" s="35" t="n"/>
      <c r="C227" s="35" t="n"/>
      <c r="D227" s="50" t="n"/>
      <c r="E227" s="35" t="n"/>
      <c r="F227" s="35" t="n"/>
      <c r="G227" s="35" t="n"/>
      <c r="H227" s="35" t="n"/>
    </row>
    <row r="228">
      <c r="A228" s="35" t="n"/>
      <c r="B228" s="35" t="n"/>
      <c r="C228" s="35" t="n"/>
      <c r="D228" s="50" t="n"/>
      <c r="E228" s="35" t="n"/>
      <c r="F228" s="35" t="n"/>
      <c r="G228" s="35" t="n"/>
      <c r="H228" s="35" t="n"/>
    </row>
    <row r="229">
      <c r="A229" s="35" t="n"/>
      <c r="B229" s="35" t="n"/>
      <c r="C229" s="35" t="n"/>
      <c r="D229" s="50" t="n"/>
      <c r="E229" s="35" t="n"/>
      <c r="F229" s="35" t="n"/>
      <c r="G229" s="35" t="n"/>
      <c r="H229" s="35" t="n"/>
    </row>
    <row r="230">
      <c r="A230" s="35" t="n"/>
      <c r="B230" s="35" t="n"/>
      <c r="C230" s="35" t="n"/>
      <c r="D230" s="50" t="n"/>
      <c r="E230" s="35" t="n"/>
      <c r="F230" s="35" t="n"/>
      <c r="G230" s="35" t="n"/>
      <c r="H230" s="35" t="n"/>
    </row>
    <row r="231">
      <c r="A231" s="35" t="n"/>
      <c r="B231" s="35" t="n"/>
      <c r="C231" s="35" t="n"/>
      <c r="D231" s="50" t="n"/>
      <c r="E231" s="35" t="n"/>
      <c r="F231" s="35" t="n"/>
      <c r="G231" s="35" t="n"/>
      <c r="H231" s="35" t="n"/>
    </row>
    <row r="232">
      <c r="A232" s="35" t="n"/>
      <c r="B232" s="35" t="n"/>
      <c r="C232" s="35" t="n"/>
      <c r="D232" s="50" t="n"/>
      <c r="E232" s="35" t="n"/>
      <c r="F232" s="35" t="n"/>
      <c r="G232" s="35" t="n"/>
      <c r="H232" s="35" t="n"/>
    </row>
    <row r="233">
      <c r="A233" s="35" t="n"/>
      <c r="B233" s="35" t="n"/>
      <c r="C233" s="35" t="n"/>
      <c r="D233" s="50" t="n"/>
      <c r="E233" s="35" t="n"/>
      <c r="F233" s="35" t="n"/>
      <c r="G233" s="35" t="n"/>
      <c r="H233" s="35" t="n"/>
    </row>
    <row r="234">
      <c r="A234" s="35" t="n"/>
      <c r="B234" s="35" t="n"/>
      <c r="C234" s="35" t="n"/>
      <c r="D234" s="50" t="n"/>
      <c r="E234" s="35" t="n"/>
      <c r="F234" s="35" t="n"/>
      <c r="G234" s="35" t="n"/>
      <c r="H234" s="35" t="n"/>
    </row>
    <row r="235">
      <c r="A235" s="35" t="n"/>
      <c r="B235" s="35" t="n"/>
      <c r="C235" s="35" t="n"/>
      <c r="D235" s="50" t="n"/>
      <c r="E235" s="35" t="n"/>
      <c r="F235" s="35" t="n"/>
      <c r="G235" s="35" t="n"/>
      <c r="H235" s="35" t="n"/>
    </row>
    <row r="236">
      <c r="A236" s="35" t="n"/>
      <c r="B236" s="35" t="n"/>
      <c r="C236" s="35" t="n"/>
      <c r="D236" s="50" t="n"/>
      <c r="E236" s="35" t="n"/>
      <c r="F236" s="35" t="n"/>
      <c r="G236" s="35" t="n"/>
      <c r="H236" s="35" t="n"/>
    </row>
    <row r="237">
      <c r="A237" s="35" t="n"/>
      <c r="B237" s="35" t="n"/>
      <c r="C237" s="35" t="n"/>
      <c r="D237" s="50" t="n"/>
      <c r="E237" s="35" t="n"/>
      <c r="F237" s="35" t="n"/>
      <c r="G237" s="35" t="n"/>
      <c r="H237" s="35" t="n"/>
    </row>
    <row r="238">
      <c r="A238" s="35" t="n"/>
      <c r="B238" s="35" t="n"/>
      <c r="C238" s="35" t="n"/>
      <c r="D238" s="50" t="n"/>
      <c r="E238" s="35" t="n"/>
      <c r="F238" s="35" t="n"/>
      <c r="G238" s="35" t="n"/>
      <c r="H238" s="35" t="n"/>
    </row>
    <row r="239">
      <c r="A239" s="35" t="n"/>
      <c r="B239" s="35" t="n"/>
      <c r="C239" s="35" t="n"/>
      <c r="D239" s="50" t="n"/>
      <c r="E239" s="35" t="n"/>
      <c r="F239" s="35" t="n"/>
      <c r="G239" s="35" t="n"/>
      <c r="H239" s="35" t="n"/>
    </row>
    <row r="240">
      <c r="A240" s="35" t="n"/>
      <c r="B240" s="35" t="n"/>
      <c r="C240" s="35" t="n"/>
      <c r="D240" s="50" t="n"/>
      <c r="E240" s="35" t="n"/>
      <c r="F240" s="35" t="n"/>
      <c r="G240" s="35" t="n"/>
      <c r="H240" s="35" t="n"/>
    </row>
    <row r="241">
      <c r="A241" s="35" t="n"/>
      <c r="B241" s="35" t="n"/>
      <c r="C241" s="35" t="n"/>
      <c r="D241" s="50" t="n"/>
      <c r="E241" s="35" t="n"/>
      <c r="F241" s="35" t="n"/>
      <c r="G241" s="35" t="n"/>
      <c r="H241" s="35" t="n"/>
    </row>
    <row r="242">
      <c r="A242" s="35" t="n"/>
      <c r="B242" s="35" t="n"/>
      <c r="C242" s="35" t="n"/>
      <c r="D242" s="50" t="n"/>
      <c r="E242" s="35" t="n"/>
      <c r="F242" s="35" t="n"/>
      <c r="G242" s="35" t="n"/>
      <c r="H242" s="35" t="n"/>
    </row>
    <row r="243">
      <c r="A243" s="35" t="n"/>
      <c r="B243" s="35" t="n"/>
      <c r="C243" s="35" t="n"/>
      <c r="D243" s="50" t="n"/>
      <c r="E243" s="35" t="n"/>
      <c r="F243" s="35" t="n"/>
      <c r="G243" s="35" t="n"/>
      <c r="H243" s="35" t="n"/>
    </row>
    <row r="244">
      <c r="A244" s="35" t="n"/>
      <c r="B244" s="35" t="n"/>
      <c r="C244" s="35" t="n"/>
      <c r="D244" s="50" t="n"/>
      <c r="E244" s="35" t="n"/>
      <c r="F244" s="35" t="n"/>
      <c r="G244" s="35" t="n"/>
      <c r="H244" s="35" t="n"/>
    </row>
    <row r="245">
      <c r="A245" s="35" t="n"/>
      <c r="B245" s="35" t="n"/>
      <c r="C245" s="35" t="n"/>
      <c r="D245" s="50" t="n"/>
      <c r="E245" s="35" t="n"/>
      <c r="F245" s="35" t="n"/>
      <c r="G245" s="35" t="n"/>
      <c r="H245" s="35" t="n"/>
    </row>
    <row r="246">
      <c r="A246" s="35" t="n"/>
      <c r="B246" s="35" t="n"/>
      <c r="C246" s="35" t="n"/>
      <c r="D246" s="50" t="n"/>
      <c r="E246" s="35" t="n"/>
      <c r="F246" s="35" t="n"/>
      <c r="G246" s="35" t="n"/>
      <c r="H246" s="35" t="n"/>
    </row>
    <row r="247">
      <c r="A247" s="35" t="n"/>
      <c r="B247" s="35" t="n"/>
      <c r="C247" s="35" t="n"/>
      <c r="D247" s="50" t="n"/>
      <c r="E247" s="35" t="n"/>
      <c r="F247" s="35" t="n"/>
      <c r="G247" s="35" t="n"/>
      <c r="H247" s="35" t="n"/>
    </row>
    <row r="248">
      <c r="A248" s="35" t="n"/>
      <c r="B248" s="35" t="n"/>
      <c r="C248" s="35" t="n"/>
      <c r="D248" s="50" t="n"/>
      <c r="E248" s="35" t="n"/>
      <c r="F248" s="35" t="n"/>
      <c r="G248" s="35" t="n"/>
      <c r="H248" s="35" t="n"/>
    </row>
    <row r="249">
      <c r="A249" s="35" t="n"/>
      <c r="B249" s="35" t="n"/>
      <c r="C249" s="35" t="n"/>
      <c r="D249" s="50" t="n"/>
      <c r="E249" s="35" t="n"/>
      <c r="F249" s="35" t="n"/>
      <c r="G249" s="35" t="n"/>
      <c r="H249" s="35" t="n"/>
    </row>
    <row r="250">
      <c r="A250" s="35" t="n"/>
      <c r="B250" s="35" t="n"/>
      <c r="C250" s="35" t="n"/>
      <c r="D250" s="50" t="n"/>
      <c r="E250" s="35" t="n"/>
      <c r="F250" s="35" t="n"/>
      <c r="G250" s="35" t="n"/>
      <c r="H250" s="35" t="n"/>
    </row>
    <row r="251">
      <c r="A251" s="35" t="n"/>
      <c r="B251" s="35" t="n"/>
      <c r="C251" s="35" t="n"/>
      <c r="D251" s="50" t="n"/>
      <c r="E251" s="35" t="n"/>
      <c r="F251" s="35" t="n"/>
      <c r="G251" s="35" t="n"/>
      <c r="H251" s="35" t="n"/>
    </row>
    <row r="252">
      <c r="A252" s="35" t="n"/>
      <c r="B252" s="35" t="n"/>
      <c r="C252" s="35" t="n"/>
      <c r="D252" s="50" t="n"/>
      <c r="E252" s="35" t="n"/>
      <c r="F252" s="35" t="n"/>
      <c r="G252" s="35" t="n"/>
      <c r="H252" s="35" t="n"/>
    </row>
    <row r="253">
      <c r="A253" s="35" t="n"/>
      <c r="B253" s="35" t="n"/>
      <c r="C253" s="35" t="n"/>
      <c r="D253" s="50" t="n"/>
      <c r="E253" s="35" t="n"/>
      <c r="F253" s="35" t="n"/>
      <c r="G253" s="35" t="n"/>
      <c r="H253" s="35" t="n"/>
    </row>
    <row r="254">
      <c r="A254" s="35" t="n"/>
      <c r="B254" s="35" t="n"/>
      <c r="C254" s="35" t="n"/>
      <c r="D254" s="50" t="n"/>
      <c r="E254" s="35" t="n"/>
      <c r="F254" s="35" t="n"/>
      <c r="G254" s="35" t="n"/>
      <c r="H254" s="35" t="n"/>
    </row>
    <row r="255">
      <c r="A255" s="35" t="n"/>
      <c r="B255" s="35" t="n"/>
      <c r="C255" s="35" t="n"/>
      <c r="D255" s="50" t="n"/>
      <c r="E255" s="35" t="n"/>
      <c r="F255" s="35" t="n"/>
      <c r="G255" s="35" t="n"/>
      <c r="H255" s="35" t="n"/>
    </row>
    <row r="256">
      <c r="A256" s="35" t="n"/>
      <c r="B256" s="35" t="n"/>
      <c r="C256" s="35" t="n"/>
      <c r="D256" s="50" t="n"/>
      <c r="E256" s="35" t="n"/>
      <c r="F256" s="35" t="n"/>
      <c r="G256" s="35" t="n"/>
      <c r="H256" s="35" t="n"/>
    </row>
    <row r="257">
      <c r="A257" s="35" t="n"/>
      <c r="B257" s="35" t="n"/>
      <c r="C257" s="35" t="n"/>
      <c r="D257" s="50" t="n"/>
      <c r="E257" s="35" t="n"/>
      <c r="F257" s="35" t="n"/>
      <c r="G257" s="35" t="n"/>
      <c r="H257" s="35" t="n"/>
    </row>
    <row r="258">
      <c r="A258" s="35" t="n"/>
      <c r="B258" s="35" t="n"/>
      <c r="C258" s="35" t="n"/>
      <c r="D258" s="50" t="n"/>
      <c r="E258" s="35" t="n"/>
      <c r="F258" s="35" t="n"/>
      <c r="G258" s="35" t="n"/>
      <c r="H258" s="35" t="n"/>
    </row>
    <row r="259">
      <c r="A259" s="35" t="n"/>
      <c r="B259" s="35" t="n"/>
      <c r="C259" s="35" t="n"/>
      <c r="D259" s="50" t="n"/>
      <c r="E259" s="35" t="n"/>
      <c r="F259" s="35" t="n"/>
      <c r="G259" s="35" t="n"/>
      <c r="H259" s="35" t="n"/>
    </row>
    <row r="260">
      <c r="A260" s="35" t="n"/>
      <c r="B260" s="35" t="n"/>
      <c r="C260" s="35" t="n"/>
      <c r="D260" s="50" t="n"/>
      <c r="E260" s="35" t="n"/>
      <c r="F260" s="35" t="n"/>
      <c r="G260" s="35" t="n"/>
      <c r="H260" s="35" t="n"/>
    </row>
    <row r="261">
      <c r="A261" s="35" t="n"/>
      <c r="B261" s="35" t="n"/>
      <c r="C261" s="35" t="n"/>
      <c r="D261" s="50" t="n"/>
      <c r="E261" s="35" t="n"/>
      <c r="F261" s="35" t="n"/>
      <c r="G261" s="35" t="n"/>
      <c r="H261" s="35" t="n"/>
    </row>
    <row r="262">
      <c r="A262" s="35" t="n"/>
      <c r="B262" s="35" t="n"/>
      <c r="C262" s="35" t="n"/>
      <c r="D262" s="50" t="n"/>
      <c r="E262" s="35" t="n"/>
      <c r="F262" s="35" t="n"/>
      <c r="G262" s="35" t="n"/>
      <c r="H262" s="35" t="n"/>
    </row>
    <row r="263">
      <c r="A263" s="35" t="n"/>
      <c r="B263" s="35" t="n"/>
      <c r="C263" s="35" t="n"/>
      <c r="D263" s="50" t="n"/>
      <c r="E263" s="35" t="n"/>
      <c r="F263" s="35" t="n"/>
      <c r="G263" s="35" t="n"/>
      <c r="H263" s="35" t="n"/>
    </row>
    <row r="264">
      <c r="A264" s="35" t="n"/>
      <c r="B264" s="35" t="n"/>
      <c r="C264" s="35" t="n"/>
      <c r="D264" s="50" t="n"/>
      <c r="E264" s="35" t="n"/>
      <c r="F264" s="35" t="n"/>
      <c r="G264" s="35" t="n"/>
      <c r="H264" s="35" t="n"/>
    </row>
    <row r="265">
      <c r="A265" s="35" t="n"/>
      <c r="B265" s="35" t="n"/>
      <c r="C265" s="35" t="n"/>
      <c r="D265" s="50" t="n"/>
      <c r="E265" s="35" t="n"/>
      <c r="F265" s="35" t="n"/>
      <c r="G265" s="35" t="n"/>
      <c r="H265" s="35" t="n"/>
    </row>
    <row r="266">
      <c r="A266" s="35" t="n"/>
      <c r="B266" s="35" t="n"/>
      <c r="C266" s="35" t="n"/>
      <c r="D266" s="50" t="n"/>
      <c r="E266" s="35" t="n"/>
      <c r="F266" s="35" t="n"/>
      <c r="G266" s="35" t="n"/>
      <c r="H266" s="35" t="n"/>
    </row>
    <row r="267">
      <c r="A267" s="35" t="n"/>
      <c r="B267" s="35" t="n"/>
      <c r="C267" s="35" t="n"/>
      <c r="D267" s="50" t="n"/>
      <c r="E267" s="35" t="n"/>
      <c r="F267" s="35" t="n"/>
      <c r="G267" s="35" t="n"/>
      <c r="H267" s="35" t="n"/>
    </row>
    <row r="268">
      <c r="A268" s="35" t="n"/>
      <c r="B268" s="35" t="n"/>
      <c r="C268" s="35" t="n"/>
      <c r="D268" s="50" t="n"/>
      <c r="E268" s="35" t="n"/>
      <c r="F268" s="35" t="n"/>
      <c r="G268" s="35" t="n"/>
      <c r="H268" s="35" t="n"/>
    </row>
    <row r="269">
      <c r="A269" s="35" t="n"/>
      <c r="B269" s="35" t="n"/>
      <c r="C269" s="35" t="n"/>
      <c r="D269" s="50" t="n"/>
      <c r="E269" s="35" t="n"/>
      <c r="F269" s="35" t="n"/>
      <c r="G269" s="35" t="n"/>
      <c r="H269" s="35" t="n"/>
    </row>
    <row r="270">
      <c r="A270" s="35" t="n"/>
      <c r="B270" s="35" t="n"/>
      <c r="C270" s="35" t="n"/>
      <c r="D270" s="50" t="n"/>
      <c r="E270" s="35" t="n"/>
      <c r="F270" s="35" t="n"/>
      <c r="G270" s="35" t="n"/>
      <c r="H270" s="35" t="n"/>
    </row>
    <row r="271">
      <c r="A271" s="35" t="n"/>
      <c r="B271" s="35" t="n"/>
      <c r="C271" s="35" t="n"/>
      <c r="D271" s="50" t="n"/>
      <c r="E271" s="35" t="n"/>
      <c r="F271" s="35" t="n"/>
      <c r="G271" s="35" t="n"/>
      <c r="H271" s="35" t="n"/>
    </row>
    <row r="272">
      <c r="A272" s="35" t="n"/>
      <c r="B272" s="35" t="n"/>
      <c r="C272" s="35" t="n"/>
      <c r="D272" s="50" t="n"/>
      <c r="E272" s="35" t="n"/>
      <c r="F272" s="35" t="n"/>
      <c r="G272" s="35" t="n"/>
      <c r="H272" s="35" t="n"/>
    </row>
    <row r="273">
      <c r="A273" s="35" t="n"/>
      <c r="B273" s="35" t="n"/>
      <c r="C273" s="35" t="n"/>
      <c r="D273" s="50" t="n"/>
      <c r="E273" s="35" t="n"/>
      <c r="F273" s="35" t="n"/>
      <c r="G273" s="35" t="n"/>
      <c r="H273" s="35" t="n"/>
    </row>
    <row r="274">
      <c r="A274" s="35" t="n"/>
      <c r="B274" s="35" t="n"/>
      <c r="C274" s="35" t="n"/>
      <c r="D274" s="50" t="n"/>
      <c r="E274" s="35" t="n"/>
      <c r="F274" s="35" t="n"/>
      <c r="G274" s="35" t="n"/>
      <c r="H274" s="35" t="n"/>
    </row>
    <row r="275">
      <c r="A275" s="35" t="n"/>
      <c r="B275" s="35" t="n"/>
      <c r="C275" s="35" t="n"/>
      <c r="D275" s="50" t="n"/>
      <c r="E275" s="35" t="n"/>
      <c r="F275" s="35" t="n"/>
      <c r="G275" s="35" t="n"/>
      <c r="H275" s="35" t="n"/>
    </row>
    <row r="276">
      <c r="A276" s="35" t="n"/>
      <c r="B276" s="35" t="n"/>
      <c r="C276" s="35" t="n"/>
      <c r="D276" s="50" t="n"/>
      <c r="E276" s="35" t="n"/>
      <c r="F276" s="35" t="n"/>
      <c r="G276" s="35" t="n"/>
      <c r="H276" s="35" t="n"/>
    </row>
    <row r="277">
      <c r="A277" s="35" t="n"/>
      <c r="B277" s="35" t="n"/>
      <c r="C277" s="35" t="n"/>
      <c r="D277" s="50" t="n"/>
      <c r="E277" s="35" t="n"/>
      <c r="F277" s="35" t="n"/>
      <c r="G277" s="35" t="n"/>
      <c r="H277" s="35" t="n"/>
    </row>
    <row r="278">
      <c r="A278" s="35" t="n"/>
      <c r="B278" s="35" t="n"/>
      <c r="C278" s="35" t="n"/>
      <c r="D278" s="50" t="n"/>
      <c r="E278" s="35" t="n"/>
      <c r="F278" s="35" t="n"/>
      <c r="G278" s="35" t="n"/>
      <c r="H278" s="35" t="n"/>
    </row>
    <row r="279">
      <c r="A279" s="35" t="n"/>
      <c r="B279" s="35" t="n"/>
      <c r="C279" s="35" t="n"/>
      <c r="D279" s="50" t="n"/>
      <c r="E279" s="35" t="n"/>
      <c r="F279" s="35" t="n"/>
      <c r="G279" s="35" t="n"/>
      <c r="H279" s="35" t="n"/>
    </row>
    <row r="280">
      <c r="A280" s="35" t="n"/>
      <c r="B280" s="35" t="n"/>
      <c r="C280" s="35" t="n"/>
      <c r="D280" s="50" t="n"/>
      <c r="E280" s="35" t="n"/>
      <c r="F280" s="35" t="n"/>
      <c r="G280" s="35" t="n"/>
      <c r="H280" s="35" t="n"/>
    </row>
    <row r="281">
      <c r="A281" s="35" t="n"/>
      <c r="B281" s="35" t="n"/>
      <c r="C281" s="35" t="n"/>
      <c r="D281" s="50" t="n"/>
      <c r="E281" s="35" t="n"/>
      <c r="F281" s="35" t="n"/>
      <c r="G281" s="35" t="n"/>
      <c r="H281" s="35" t="n"/>
    </row>
    <row r="282">
      <c r="A282" s="35" t="n"/>
      <c r="B282" s="35" t="n"/>
      <c r="C282" s="35" t="n"/>
      <c r="D282" s="50" t="n"/>
      <c r="E282" s="35" t="n"/>
      <c r="F282" s="35" t="n"/>
      <c r="G282" s="35" t="n"/>
      <c r="H282" s="35" t="n"/>
    </row>
    <row r="283">
      <c r="A283" s="35" t="n"/>
      <c r="B283" s="35" t="n"/>
      <c r="C283" s="35" t="n"/>
      <c r="D283" s="50" t="n"/>
      <c r="E283" s="35" t="n"/>
      <c r="F283" s="35" t="n"/>
      <c r="G283" s="35" t="n"/>
      <c r="H283" s="35" t="n"/>
    </row>
    <row r="284">
      <c r="A284" s="35" t="n"/>
      <c r="B284" s="35" t="n"/>
      <c r="C284" s="35" t="n"/>
      <c r="D284" s="50" t="n"/>
      <c r="E284" s="35" t="n"/>
      <c r="F284" s="35" t="n"/>
      <c r="G284" s="35" t="n"/>
      <c r="H284" s="35" t="n"/>
    </row>
    <row r="285">
      <c r="A285" s="35" t="n"/>
      <c r="B285" s="35" t="n"/>
      <c r="C285" s="35" t="n"/>
      <c r="D285" s="50" t="n"/>
      <c r="E285" s="35" t="n"/>
      <c r="F285" s="35" t="n"/>
      <c r="G285" s="35" t="n"/>
      <c r="H285" s="35" t="n"/>
    </row>
    <row r="286">
      <c r="A286" s="35" t="n"/>
      <c r="B286" s="35" t="n"/>
      <c r="C286" s="35" t="n"/>
      <c r="D286" s="50" t="n"/>
      <c r="E286" s="35" t="n"/>
      <c r="F286" s="35" t="n"/>
      <c r="G286" s="35" t="n"/>
      <c r="H286" s="35" t="n"/>
    </row>
    <row r="287">
      <c r="A287" s="35" t="n"/>
      <c r="B287" s="35" t="n"/>
      <c r="C287" s="35" t="n"/>
      <c r="D287" s="50" t="n"/>
      <c r="E287" s="35" t="n"/>
      <c r="F287" s="35" t="n"/>
      <c r="G287" s="35" t="n"/>
      <c r="H287" s="35" t="n"/>
    </row>
    <row r="288">
      <c r="A288" s="35" t="n"/>
      <c r="B288" s="35" t="n"/>
      <c r="C288" s="35" t="n"/>
      <c r="D288" s="50" t="n"/>
      <c r="E288" s="35" t="n"/>
      <c r="F288" s="35" t="n"/>
      <c r="G288" s="35" t="n"/>
      <c r="H288" s="35" t="n"/>
    </row>
    <row r="289">
      <c r="A289" s="35" t="n"/>
      <c r="B289" s="35" t="n"/>
      <c r="C289" s="35" t="n"/>
      <c r="D289" s="50" t="n"/>
      <c r="E289" s="35" t="n"/>
      <c r="F289" s="35" t="n"/>
      <c r="G289" s="35" t="n"/>
      <c r="H289" s="35" t="n"/>
    </row>
    <row r="290">
      <c r="A290" s="35" t="n"/>
      <c r="B290" s="35" t="n"/>
      <c r="C290" s="35" t="n"/>
      <c r="D290" s="50" t="n"/>
      <c r="E290" s="35" t="n"/>
      <c r="F290" s="35" t="n"/>
      <c r="G290" s="35" t="n"/>
      <c r="H290" s="35" t="n"/>
    </row>
    <row r="291">
      <c r="A291" s="35" t="n"/>
      <c r="B291" s="35" t="n"/>
      <c r="C291" s="35" t="n"/>
      <c r="D291" s="50" t="n"/>
      <c r="E291" s="35" t="n"/>
      <c r="F291" s="35" t="n"/>
      <c r="G291" s="35" t="n"/>
      <c r="H291" s="35" t="n"/>
    </row>
    <row r="292">
      <c r="A292" s="35" t="n"/>
      <c r="B292" s="35" t="n"/>
      <c r="C292" s="35" t="n"/>
      <c r="D292" s="50" t="n"/>
      <c r="E292" s="35" t="n"/>
      <c r="F292" s="35" t="n"/>
      <c r="G292" s="35" t="n"/>
      <c r="H292" s="35" t="n"/>
    </row>
    <row r="293">
      <c r="A293" s="35" t="n"/>
      <c r="B293" s="35" t="n"/>
      <c r="C293" s="35" t="n"/>
      <c r="D293" s="50" t="n"/>
      <c r="E293" s="35" t="n"/>
      <c r="F293" s="35" t="n"/>
      <c r="G293" s="35" t="n"/>
      <c r="H293" s="35" t="n"/>
    </row>
    <row r="294">
      <c r="A294" s="35" t="n"/>
      <c r="B294" s="35" t="n"/>
      <c r="C294" s="35" t="n"/>
      <c r="D294" s="50" t="n"/>
      <c r="E294" s="35" t="n"/>
      <c r="F294" s="35" t="n"/>
      <c r="G294" s="35" t="n"/>
      <c r="H294" s="35" t="n"/>
    </row>
    <row r="295">
      <c r="A295" s="35" t="n"/>
      <c r="B295" s="35" t="n"/>
      <c r="C295" s="35" t="n"/>
      <c r="D295" s="50" t="n"/>
      <c r="E295" s="35" t="n"/>
      <c r="F295" s="35" t="n"/>
      <c r="G295" s="35" t="n"/>
      <c r="H295" s="35" t="n"/>
    </row>
    <row r="296">
      <c r="A296" s="35" t="n"/>
      <c r="B296" s="35" t="n"/>
      <c r="C296" s="35" t="n"/>
      <c r="D296" s="50" t="n"/>
      <c r="E296" s="35" t="n"/>
      <c r="F296" s="35" t="n"/>
      <c r="G296" s="35" t="n"/>
      <c r="H296" s="35" t="n"/>
    </row>
    <row r="297">
      <c r="A297" s="35" t="n"/>
      <c r="B297" s="35" t="n"/>
      <c r="C297" s="35" t="n"/>
      <c r="D297" s="50" t="n"/>
      <c r="E297" s="35" t="n"/>
      <c r="F297" s="35" t="n"/>
      <c r="G297" s="35" t="n"/>
      <c r="H297" s="35" t="n"/>
    </row>
    <row r="298">
      <c r="A298" s="35" t="n"/>
      <c r="B298" s="35" t="n"/>
      <c r="C298" s="35" t="n"/>
      <c r="D298" s="50" t="n"/>
      <c r="E298" s="35" t="n"/>
      <c r="F298" s="35" t="n"/>
      <c r="G298" s="35" t="n"/>
      <c r="H298" s="35" t="n"/>
    </row>
    <row r="299">
      <c r="A299" s="35" t="n"/>
      <c r="B299" s="35" t="n"/>
      <c r="C299" s="35" t="n"/>
      <c r="D299" s="50" t="n"/>
      <c r="E299" s="35" t="n"/>
      <c r="F299" s="35" t="n"/>
      <c r="G299" s="35" t="n"/>
      <c r="H299" s="35" t="n"/>
    </row>
    <row r="300">
      <c r="A300" s="35" t="n"/>
      <c r="B300" s="35" t="n"/>
      <c r="C300" s="35" t="n"/>
      <c r="D300" s="50" t="n"/>
      <c r="E300" s="35" t="n"/>
      <c r="F300" s="35" t="n"/>
      <c r="G300" s="35" t="n"/>
      <c r="H300" s="35" t="n"/>
    </row>
    <row r="301">
      <c r="A301" s="35" t="n"/>
      <c r="B301" s="35" t="n"/>
      <c r="C301" s="35" t="n"/>
      <c r="D301" s="50" t="n"/>
      <c r="E301" s="35" t="n"/>
      <c r="F301" s="35" t="n"/>
      <c r="G301" s="35" t="n"/>
      <c r="H301" s="35" t="n"/>
    </row>
    <row r="302">
      <c r="A302" s="35" t="n"/>
      <c r="B302" s="35" t="n"/>
      <c r="C302" s="35" t="n"/>
      <c r="D302" s="50" t="n"/>
      <c r="E302" s="35" t="n"/>
      <c r="F302" s="35" t="n"/>
      <c r="G302" s="35" t="n"/>
      <c r="H302" s="35" t="n"/>
    </row>
    <row r="303">
      <c r="A303" s="35" t="n"/>
      <c r="B303" s="35" t="n"/>
      <c r="C303" s="35" t="n"/>
      <c r="D303" s="50" t="n"/>
      <c r="E303" s="35" t="n"/>
      <c r="F303" s="35" t="n"/>
      <c r="G303" s="35" t="n"/>
      <c r="H303" s="35" t="n"/>
    </row>
    <row r="304">
      <c r="A304" s="35" t="n"/>
      <c r="B304" s="35" t="n"/>
      <c r="C304" s="35" t="n"/>
      <c r="D304" s="50" t="n"/>
      <c r="E304" s="35" t="n"/>
      <c r="F304" s="35" t="n"/>
      <c r="G304" s="35" t="n"/>
      <c r="H304" s="35" t="n"/>
    </row>
    <row r="305">
      <c r="A305" s="35" t="n"/>
      <c r="B305" s="35" t="n"/>
      <c r="C305" s="35" t="n"/>
      <c r="D305" s="50" t="n"/>
      <c r="E305" s="35" t="n"/>
      <c r="F305" s="35" t="n"/>
      <c r="G305" s="35" t="n"/>
      <c r="H305" s="35" t="n"/>
    </row>
    <row r="306">
      <c r="A306" s="35" t="n"/>
      <c r="B306" s="35" t="n"/>
      <c r="C306" s="35" t="n"/>
      <c r="D306" s="50" t="n"/>
      <c r="E306" s="35" t="n"/>
      <c r="F306" s="35" t="n"/>
      <c r="G306" s="35" t="n"/>
      <c r="H306" s="35" t="n"/>
    </row>
    <row r="307">
      <c r="A307" s="35" t="n"/>
      <c r="B307" s="35" t="n"/>
      <c r="C307" s="35" t="n"/>
      <c r="D307" s="50" t="n"/>
      <c r="E307" s="35" t="n"/>
      <c r="F307" s="35" t="n"/>
      <c r="G307" s="35" t="n"/>
      <c r="H307" s="3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K3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40" customWidth="1" min="4" max="4"/>
    <col width="10" customWidth="1" min="5" max="5"/>
    <col width="13" customWidth="1" min="6" max="6"/>
    <col width="15" customWidth="1" min="7" max="7"/>
    <col width="20" customWidth="1" min="8" max="8"/>
    <col width="16" customWidth="1" min="9" max="9"/>
    <col width="28" customWidth="1" min="10" max="10"/>
    <col width="24" customWidth="1" min="11" max="11"/>
  </cols>
  <sheetData>
    <row r="1">
      <c r="A1" s="1" t="inlineStr">
        <is>
          <t>Happy Hatch – PURCHASE</t>
        </is>
      </c>
    </row>
    <row r="2">
      <c r="A2" s="4" t="inlineStr">
        <is>
          <t>Blue = enter / edit. Product Code must exist in PRODUCTS (drop-down provided when typing in the grid). Product Name and Total Cost are calculated automatically.</t>
        </is>
      </c>
    </row>
    <row r="4" ht="32" customHeight="1">
      <c r="A4" s="21" t="inlineStr">
        <is>
          <t>Purchase Number</t>
        </is>
      </c>
      <c r="B4" s="21" t="inlineStr">
        <is>
          <t>Date of Purchase</t>
        </is>
      </c>
      <c r="C4" s="21" t="inlineStr">
        <is>
          <t>Product Code</t>
        </is>
      </c>
      <c r="D4" s="21" t="inlineStr">
        <is>
          <t>Product Name</t>
        </is>
      </c>
      <c r="E4" s="21" t="inlineStr">
        <is>
          <t>Quantity</t>
        </is>
      </c>
      <c r="F4" s="21" t="inlineStr">
        <is>
          <t>Unit Cost</t>
        </is>
      </c>
      <c r="G4" s="21" t="inlineStr">
        <is>
          <t>Total Cost</t>
        </is>
      </c>
      <c r="H4" s="21" t="inlineStr">
        <is>
          <t>Shipper Name</t>
        </is>
      </c>
      <c r="I4" s="21" t="inlineStr">
        <is>
          <t>Shipper Contact</t>
        </is>
      </c>
      <c r="J4" s="21" t="inlineStr">
        <is>
          <t>Shipper Email</t>
        </is>
      </c>
      <c r="K4" s="21" t="inlineStr">
        <is>
          <t>Remarks</t>
        </is>
      </c>
    </row>
    <row r="5">
      <c r="A5" s="40" t="inlineStr">
        <is>
          <t>PUR-001</t>
        </is>
      </c>
      <c r="B5" s="41" t="n">
        <v>46270</v>
      </c>
      <c r="C5" s="40" t="inlineStr">
        <is>
          <t>HH000101</t>
        </is>
      </c>
      <c r="D5" s="16">
        <f>IFERROR(INDEX(tblProducts[Product Name],MATCH(tblPurchase[[#This Row],[Product Code]],tblProducts[Product Code],0)),"")</f>
        <v/>
      </c>
      <c r="E5" s="44" t="n">
        <v>120</v>
      </c>
      <c r="F5" s="43" t="n">
        <v>191</v>
      </c>
      <c r="G5" s="42">
        <f>tblPurchase[[#This Row],[Quantity]]*tblPurchase[[#This Row],[Unit Cost]]</f>
        <v/>
      </c>
      <c r="H5" s="40" t="inlineStr">
        <is>
          <t>Sample Logistics</t>
        </is>
      </c>
      <c r="I5" s="49" t="inlineStr">
        <is>
          <t>9200000001</t>
        </is>
      </c>
      <c r="J5" s="40" t="inlineStr">
        <is>
          <t>dispatch@example.com</t>
        </is>
      </c>
      <c r="K5" s="40" t="n"/>
    </row>
    <row r="6">
      <c r="A6" s="40" t="inlineStr">
        <is>
          <t>PUR-002</t>
        </is>
      </c>
      <c r="B6" s="41" t="n">
        <v>46270</v>
      </c>
      <c r="C6" s="40" t="inlineStr">
        <is>
          <t>HH000102</t>
        </is>
      </c>
      <c r="D6" s="16">
        <f>IFERROR(INDEX(tblProducts[Product Name],MATCH(tblPurchase[[#This Row],[Product Code]],tblProducts[Product Code],0)),"")</f>
        <v/>
      </c>
      <c r="E6" s="44" t="n">
        <v>60</v>
      </c>
      <c r="F6" s="43" t="n">
        <v>1108</v>
      </c>
      <c r="G6" s="42">
        <f>tblPurchase[[#This Row],[Quantity]]*tblPurchase[[#This Row],[Unit Cost]]</f>
        <v/>
      </c>
      <c r="H6" s="40" t="inlineStr">
        <is>
          <t>Sample Logistics</t>
        </is>
      </c>
      <c r="I6" s="49" t="inlineStr">
        <is>
          <t>9200000001</t>
        </is>
      </c>
      <c r="J6" s="40" t="inlineStr">
        <is>
          <t>dispatch@example.com</t>
        </is>
      </c>
      <c r="K6" s="40" t="n"/>
    </row>
    <row r="7">
      <c r="A7" s="40" t="inlineStr">
        <is>
          <t>PUR-003</t>
        </is>
      </c>
      <c r="B7" s="41" t="n">
        <v>46277</v>
      </c>
      <c r="C7" s="40" t="inlineStr">
        <is>
          <t>HH000103</t>
        </is>
      </c>
      <c r="D7" s="16">
        <f>IFERROR(INDEX(tblProducts[Product Name],MATCH(tblPurchase[[#This Row],[Product Code]],tblProducts[Product Code],0)),"")</f>
        <v/>
      </c>
      <c r="E7" s="44" t="n">
        <v>120</v>
      </c>
      <c r="F7" s="43" t="n">
        <v>183</v>
      </c>
      <c r="G7" s="42">
        <f>tblPurchase[[#This Row],[Quantity]]*tblPurchase[[#This Row],[Unit Cost]]</f>
        <v/>
      </c>
      <c r="H7" s="40" t="inlineStr">
        <is>
          <t>Sample Logistics</t>
        </is>
      </c>
      <c r="I7" s="49" t="inlineStr">
        <is>
          <t>9200000001</t>
        </is>
      </c>
      <c r="J7" s="40" t="inlineStr">
        <is>
          <t>dispatch@example.com</t>
        </is>
      </c>
      <c r="K7" s="40" t="n"/>
    </row>
    <row r="8">
      <c r="A8" s="40" t="inlineStr">
        <is>
          <t>PUR-004</t>
        </is>
      </c>
      <c r="B8" s="41" t="n">
        <v>46277</v>
      </c>
      <c r="C8" s="40" t="inlineStr">
        <is>
          <t>HH000104</t>
        </is>
      </c>
      <c r="D8" s="16">
        <f>IFERROR(INDEX(tblProducts[Product Name],MATCH(tblPurchase[[#This Row],[Product Code]],tblProducts[Product Code],0)),"")</f>
        <v/>
      </c>
      <c r="E8" s="44" t="n">
        <v>60</v>
      </c>
      <c r="F8" s="43" t="n">
        <v>1102</v>
      </c>
      <c r="G8" s="42">
        <f>tblPurchase[[#This Row],[Quantity]]*tblPurchase[[#This Row],[Unit Cost]]</f>
        <v/>
      </c>
      <c r="H8" s="40" t="inlineStr">
        <is>
          <t>Sample Logistics</t>
        </is>
      </c>
      <c r="I8" s="49" t="inlineStr">
        <is>
          <t>9200000001</t>
        </is>
      </c>
      <c r="J8" s="40" t="inlineStr">
        <is>
          <t>dispatch@example.com</t>
        </is>
      </c>
      <c r="K8" s="40" t="n"/>
    </row>
    <row r="9">
      <c r="A9" s="40" t="inlineStr">
        <is>
          <t>PUR-005</t>
        </is>
      </c>
      <c r="B9" s="41" t="n">
        <v>46285</v>
      </c>
      <c r="C9" s="40" t="inlineStr">
        <is>
          <t>HH000105</t>
        </is>
      </c>
      <c r="D9" s="16">
        <f>IFERROR(INDEX(tblProducts[Product Name],MATCH(tblPurchase[[#This Row],[Product Code]],tblProducts[Product Code],0)),"")</f>
        <v/>
      </c>
      <c r="E9" s="44" t="n">
        <v>340</v>
      </c>
      <c r="F9" s="43" t="n">
        <v>38</v>
      </c>
      <c r="G9" s="42">
        <f>tblPurchase[[#This Row],[Quantity]]*tblPurchase[[#This Row],[Unit Cost]]</f>
        <v/>
      </c>
      <c r="H9" s="40" t="inlineStr">
        <is>
          <t>Sample Logistics</t>
        </is>
      </c>
      <c r="I9" s="49" t="inlineStr">
        <is>
          <t>9200000001</t>
        </is>
      </c>
      <c r="J9" s="40" t="inlineStr">
        <is>
          <t>dispatch@example.com</t>
        </is>
      </c>
      <c r="K9" s="40" t="n"/>
    </row>
    <row r="10">
      <c r="A10" s="40" t="inlineStr">
        <is>
          <t>PUR-006</t>
        </is>
      </c>
      <c r="B10" s="41" t="n">
        <v>46290</v>
      </c>
      <c r="C10" s="40" t="inlineStr">
        <is>
          <t>HH000106</t>
        </is>
      </c>
      <c r="D10" s="16">
        <f>IFERROR(INDEX(tblProducts[Product Name],MATCH(tblPurchase[[#This Row],[Product Code]],tblProducts[Product Code],0)),"")</f>
        <v/>
      </c>
      <c r="E10" s="44" t="n">
        <v>50</v>
      </c>
      <c r="F10" s="43" t="n">
        <v>1870</v>
      </c>
      <c r="G10" s="42">
        <f>tblPurchase[[#This Row],[Quantity]]*tblPurchase[[#This Row],[Unit Cost]]</f>
        <v/>
      </c>
      <c r="H10" s="40" t="inlineStr">
        <is>
          <t>Sample Logistics</t>
        </is>
      </c>
      <c r="I10" s="49" t="inlineStr">
        <is>
          <t>9200000001</t>
        </is>
      </c>
      <c r="J10" s="40" t="inlineStr">
        <is>
          <t>dispatch@example.com</t>
        </is>
      </c>
      <c r="K10" s="40" t="n"/>
    </row>
    <row r="11">
      <c r="A11" s="35" t="n"/>
      <c r="B11" s="46" t="n"/>
      <c r="C11" s="35" t="n"/>
      <c r="D11" s="47" t="n"/>
      <c r="E11" s="48" t="n"/>
      <c r="F11" s="37" t="n"/>
      <c r="G11" s="38" t="n"/>
      <c r="H11" s="35" t="n"/>
      <c r="I11" s="50" t="n"/>
      <c r="J11" s="35" t="n"/>
      <c r="K11" s="35" t="n"/>
    </row>
    <row r="12">
      <c r="A12" s="35" t="n"/>
      <c r="B12" s="46" t="n"/>
      <c r="C12" s="35" t="n"/>
      <c r="D12" s="47" t="n"/>
      <c r="E12" s="48" t="n"/>
      <c r="F12" s="37" t="n"/>
      <c r="G12" s="38" t="n"/>
      <c r="H12" s="35" t="n"/>
      <c r="I12" s="50" t="n"/>
      <c r="J12" s="35" t="n"/>
      <c r="K12" s="35" t="n"/>
    </row>
    <row r="13">
      <c r="A13" s="35" t="n"/>
      <c r="B13" s="46" t="n"/>
      <c r="C13" s="35" t="n"/>
      <c r="D13" s="47" t="n"/>
      <c r="E13" s="48" t="n"/>
      <c r="F13" s="37" t="n"/>
      <c r="G13" s="38" t="n"/>
      <c r="H13" s="35" t="n"/>
      <c r="I13" s="50" t="n"/>
      <c r="J13" s="35" t="n"/>
      <c r="K13" s="35" t="n"/>
    </row>
    <row r="14">
      <c r="A14" s="35" t="n"/>
      <c r="B14" s="46" t="n"/>
      <c r="C14" s="35" t="n"/>
      <c r="D14" s="47" t="n"/>
      <c r="E14" s="48" t="n"/>
      <c r="F14" s="37" t="n"/>
      <c r="G14" s="38" t="n"/>
      <c r="H14" s="35" t="n"/>
      <c r="I14" s="50" t="n"/>
      <c r="J14" s="35" t="n"/>
      <c r="K14" s="35" t="n"/>
    </row>
    <row r="15">
      <c r="A15" s="35" t="n"/>
      <c r="B15" s="46" t="n"/>
      <c r="C15" s="35" t="n"/>
      <c r="D15" s="47" t="n"/>
      <c r="E15" s="48" t="n"/>
      <c r="F15" s="37" t="n"/>
      <c r="G15" s="38" t="n"/>
      <c r="H15" s="35" t="n"/>
      <c r="I15" s="50" t="n"/>
      <c r="J15" s="35" t="n"/>
      <c r="K15" s="35" t="n"/>
    </row>
    <row r="16">
      <c r="A16" s="35" t="n"/>
      <c r="B16" s="46" t="n"/>
      <c r="C16" s="35" t="n"/>
      <c r="D16" s="47" t="n"/>
      <c r="E16" s="48" t="n"/>
      <c r="F16" s="37" t="n"/>
      <c r="G16" s="38" t="n"/>
      <c r="H16" s="35" t="n"/>
      <c r="I16" s="50" t="n"/>
      <c r="J16" s="35" t="n"/>
      <c r="K16" s="35" t="n"/>
    </row>
    <row r="17">
      <c r="A17" s="35" t="n"/>
      <c r="B17" s="46" t="n"/>
      <c r="C17" s="35" t="n"/>
      <c r="D17" s="47" t="n"/>
      <c r="E17" s="48" t="n"/>
      <c r="F17" s="37" t="n"/>
      <c r="G17" s="38" t="n"/>
      <c r="H17" s="35" t="n"/>
      <c r="I17" s="50" t="n"/>
      <c r="J17" s="35" t="n"/>
      <c r="K17" s="35" t="n"/>
    </row>
    <row r="18">
      <c r="A18" s="35" t="n"/>
      <c r="B18" s="46" t="n"/>
      <c r="C18" s="35" t="n"/>
      <c r="D18" s="47" t="n"/>
      <c r="E18" s="48" t="n"/>
      <c r="F18" s="37" t="n"/>
      <c r="G18" s="38" t="n"/>
      <c r="H18" s="35" t="n"/>
      <c r="I18" s="50" t="n"/>
      <c r="J18" s="35" t="n"/>
      <c r="K18" s="35" t="n"/>
    </row>
    <row r="19">
      <c r="A19" s="35" t="n"/>
      <c r="B19" s="46" t="n"/>
      <c r="C19" s="35" t="n"/>
      <c r="D19" s="47" t="n"/>
      <c r="E19" s="48" t="n"/>
      <c r="F19" s="37" t="n"/>
      <c r="G19" s="38" t="n"/>
      <c r="H19" s="35" t="n"/>
      <c r="I19" s="50" t="n"/>
      <c r="J19" s="35" t="n"/>
      <c r="K19" s="35" t="n"/>
    </row>
    <row r="20">
      <c r="A20" s="35" t="n"/>
      <c r="B20" s="46" t="n"/>
      <c r="C20" s="35" t="n"/>
      <c r="D20" s="47" t="n"/>
      <c r="E20" s="48" t="n"/>
      <c r="F20" s="37" t="n"/>
      <c r="G20" s="38" t="n"/>
      <c r="H20" s="35" t="n"/>
      <c r="I20" s="50" t="n"/>
      <c r="J20" s="35" t="n"/>
      <c r="K20" s="35" t="n"/>
    </row>
    <row r="21">
      <c r="A21" s="35" t="n"/>
      <c r="B21" s="46" t="n"/>
      <c r="C21" s="35" t="n"/>
      <c r="D21" s="47" t="n"/>
      <c r="E21" s="48" t="n"/>
      <c r="F21" s="37" t="n"/>
      <c r="G21" s="38" t="n"/>
      <c r="H21" s="35" t="n"/>
      <c r="I21" s="50" t="n"/>
      <c r="J21" s="35" t="n"/>
      <c r="K21" s="35" t="n"/>
    </row>
    <row r="22">
      <c r="A22" s="35" t="n"/>
      <c r="B22" s="46" t="n"/>
      <c r="C22" s="35" t="n"/>
      <c r="D22" s="47" t="n"/>
      <c r="E22" s="48" t="n"/>
      <c r="F22" s="37" t="n"/>
      <c r="G22" s="38" t="n"/>
      <c r="H22" s="35" t="n"/>
      <c r="I22" s="50" t="n"/>
      <c r="J22" s="35" t="n"/>
      <c r="K22" s="35" t="n"/>
    </row>
    <row r="23">
      <c r="A23" s="35" t="n"/>
      <c r="B23" s="46" t="n"/>
      <c r="C23" s="35" t="n"/>
      <c r="D23" s="47" t="n"/>
      <c r="E23" s="48" t="n"/>
      <c r="F23" s="37" t="n"/>
      <c r="G23" s="38" t="n"/>
      <c r="H23" s="35" t="n"/>
      <c r="I23" s="50" t="n"/>
      <c r="J23" s="35" t="n"/>
      <c r="K23" s="35" t="n"/>
    </row>
    <row r="24">
      <c r="A24" s="35" t="n"/>
      <c r="B24" s="46" t="n"/>
      <c r="C24" s="35" t="n"/>
      <c r="D24" s="47" t="n"/>
      <c r="E24" s="48" t="n"/>
      <c r="F24" s="37" t="n"/>
      <c r="G24" s="38" t="n"/>
      <c r="H24" s="35" t="n"/>
      <c r="I24" s="50" t="n"/>
      <c r="J24" s="35" t="n"/>
      <c r="K24" s="35" t="n"/>
    </row>
    <row r="25">
      <c r="A25" s="35" t="n"/>
      <c r="B25" s="46" t="n"/>
      <c r="C25" s="35" t="n"/>
      <c r="D25" s="47" t="n"/>
      <c r="E25" s="48" t="n"/>
      <c r="F25" s="37" t="n"/>
      <c r="G25" s="38" t="n"/>
      <c r="H25" s="35" t="n"/>
      <c r="I25" s="50" t="n"/>
      <c r="J25" s="35" t="n"/>
      <c r="K25" s="35" t="n"/>
    </row>
    <row r="26">
      <c r="A26" s="35" t="n"/>
      <c r="B26" s="46" t="n"/>
      <c r="C26" s="35" t="n"/>
      <c r="D26" s="47" t="n"/>
      <c r="E26" s="48" t="n"/>
      <c r="F26" s="37" t="n"/>
      <c r="G26" s="38" t="n"/>
      <c r="H26" s="35" t="n"/>
      <c r="I26" s="50" t="n"/>
      <c r="J26" s="35" t="n"/>
      <c r="K26" s="35" t="n"/>
    </row>
    <row r="27">
      <c r="A27" s="35" t="n"/>
      <c r="B27" s="46" t="n"/>
      <c r="C27" s="35" t="n"/>
      <c r="D27" s="47" t="n"/>
      <c r="E27" s="48" t="n"/>
      <c r="F27" s="37" t="n"/>
      <c r="G27" s="38" t="n"/>
      <c r="H27" s="35" t="n"/>
      <c r="I27" s="50" t="n"/>
      <c r="J27" s="35" t="n"/>
      <c r="K27" s="35" t="n"/>
    </row>
    <row r="28">
      <c r="A28" s="35" t="n"/>
      <c r="B28" s="46" t="n"/>
      <c r="C28" s="35" t="n"/>
      <c r="D28" s="47" t="n"/>
      <c r="E28" s="48" t="n"/>
      <c r="F28" s="37" t="n"/>
      <c r="G28" s="38" t="n"/>
      <c r="H28" s="35" t="n"/>
      <c r="I28" s="50" t="n"/>
      <c r="J28" s="35" t="n"/>
      <c r="K28" s="35" t="n"/>
    </row>
    <row r="29">
      <c r="A29" s="35" t="n"/>
      <c r="B29" s="46" t="n"/>
      <c r="C29" s="35" t="n"/>
      <c r="D29" s="47" t="n"/>
      <c r="E29" s="48" t="n"/>
      <c r="F29" s="37" t="n"/>
      <c r="G29" s="38" t="n"/>
      <c r="H29" s="35" t="n"/>
      <c r="I29" s="50" t="n"/>
      <c r="J29" s="35" t="n"/>
      <c r="K29" s="35" t="n"/>
    </row>
    <row r="30">
      <c r="A30" s="35" t="n"/>
      <c r="B30" s="46" t="n"/>
      <c r="C30" s="35" t="n"/>
      <c r="D30" s="47" t="n"/>
      <c r="E30" s="48" t="n"/>
      <c r="F30" s="37" t="n"/>
      <c r="G30" s="38" t="n"/>
      <c r="H30" s="35" t="n"/>
      <c r="I30" s="50" t="n"/>
      <c r="J30" s="35" t="n"/>
      <c r="K30" s="35" t="n"/>
    </row>
    <row r="31">
      <c r="A31" s="35" t="n"/>
      <c r="B31" s="46" t="n"/>
      <c r="C31" s="35" t="n"/>
      <c r="D31" s="47" t="n"/>
      <c r="E31" s="48" t="n"/>
      <c r="F31" s="37" t="n"/>
      <c r="G31" s="38" t="n"/>
      <c r="H31" s="35" t="n"/>
      <c r="I31" s="50" t="n"/>
      <c r="J31" s="35" t="n"/>
      <c r="K31" s="35" t="n"/>
    </row>
    <row r="32">
      <c r="A32" s="35" t="n"/>
      <c r="B32" s="46" t="n"/>
      <c r="C32" s="35" t="n"/>
      <c r="D32" s="47" t="n"/>
      <c r="E32" s="48" t="n"/>
      <c r="F32" s="37" t="n"/>
      <c r="G32" s="38" t="n"/>
      <c r="H32" s="35" t="n"/>
      <c r="I32" s="50" t="n"/>
      <c r="J32" s="35" t="n"/>
      <c r="K32" s="35" t="n"/>
    </row>
    <row r="33">
      <c r="A33" s="35" t="n"/>
      <c r="B33" s="46" t="n"/>
      <c r="C33" s="35" t="n"/>
      <c r="D33" s="47" t="n"/>
      <c r="E33" s="48" t="n"/>
      <c r="F33" s="37" t="n"/>
      <c r="G33" s="38" t="n"/>
      <c r="H33" s="35" t="n"/>
      <c r="I33" s="50" t="n"/>
      <c r="J33" s="35" t="n"/>
      <c r="K33" s="35" t="n"/>
    </row>
    <row r="34">
      <c r="A34" s="35" t="n"/>
      <c r="B34" s="46" t="n"/>
      <c r="C34" s="35" t="n"/>
      <c r="D34" s="47" t="n"/>
      <c r="E34" s="48" t="n"/>
      <c r="F34" s="37" t="n"/>
      <c r="G34" s="38" t="n"/>
      <c r="H34" s="35" t="n"/>
      <c r="I34" s="50" t="n"/>
      <c r="J34" s="35" t="n"/>
      <c r="K34" s="35" t="n"/>
    </row>
    <row r="35">
      <c r="A35" s="35" t="n"/>
      <c r="B35" s="46" t="n"/>
      <c r="C35" s="35" t="n"/>
      <c r="D35" s="47" t="n"/>
      <c r="E35" s="48" t="n"/>
      <c r="F35" s="37" t="n"/>
      <c r="G35" s="38" t="n"/>
      <c r="H35" s="35" t="n"/>
      <c r="I35" s="50" t="n"/>
      <c r="J35" s="35" t="n"/>
      <c r="K35" s="35" t="n"/>
    </row>
    <row r="36">
      <c r="A36" s="35" t="n"/>
      <c r="B36" s="46" t="n"/>
      <c r="C36" s="35" t="n"/>
      <c r="D36" s="47" t="n"/>
      <c r="E36" s="48" t="n"/>
      <c r="F36" s="37" t="n"/>
      <c r="G36" s="38" t="n"/>
      <c r="H36" s="35" t="n"/>
      <c r="I36" s="50" t="n"/>
      <c r="J36" s="35" t="n"/>
      <c r="K36" s="35" t="n"/>
    </row>
    <row r="37">
      <c r="A37" s="35" t="n"/>
      <c r="B37" s="46" t="n"/>
      <c r="C37" s="35" t="n"/>
      <c r="D37" s="47" t="n"/>
      <c r="E37" s="48" t="n"/>
      <c r="F37" s="37" t="n"/>
      <c r="G37" s="38" t="n"/>
      <c r="H37" s="35" t="n"/>
      <c r="I37" s="50" t="n"/>
      <c r="J37" s="35" t="n"/>
      <c r="K37" s="35" t="n"/>
    </row>
    <row r="38">
      <c r="A38" s="35" t="n"/>
      <c r="B38" s="46" t="n"/>
      <c r="C38" s="35" t="n"/>
      <c r="D38" s="47" t="n"/>
      <c r="E38" s="48" t="n"/>
      <c r="F38" s="37" t="n"/>
      <c r="G38" s="38" t="n"/>
      <c r="H38" s="35" t="n"/>
      <c r="I38" s="50" t="n"/>
      <c r="J38" s="35" t="n"/>
      <c r="K38" s="35" t="n"/>
    </row>
    <row r="39">
      <c r="A39" s="35" t="n"/>
      <c r="B39" s="46" t="n"/>
      <c r="C39" s="35" t="n"/>
      <c r="D39" s="47" t="n"/>
      <c r="E39" s="48" t="n"/>
      <c r="F39" s="37" t="n"/>
      <c r="G39" s="38" t="n"/>
      <c r="H39" s="35" t="n"/>
      <c r="I39" s="50" t="n"/>
      <c r="J39" s="35" t="n"/>
      <c r="K39" s="35" t="n"/>
    </row>
    <row r="40">
      <c r="A40" s="35" t="n"/>
      <c r="B40" s="46" t="n"/>
      <c r="C40" s="35" t="n"/>
      <c r="D40" s="47" t="n"/>
      <c r="E40" s="48" t="n"/>
      <c r="F40" s="37" t="n"/>
      <c r="G40" s="38" t="n"/>
      <c r="H40" s="35" t="n"/>
      <c r="I40" s="50" t="n"/>
      <c r="J40" s="35" t="n"/>
      <c r="K40" s="35" t="n"/>
    </row>
    <row r="41">
      <c r="A41" s="35" t="n"/>
      <c r="B41" s="46" t="n"/>
      <c r="C41" s="35" t="n"/>
      <c r="D41" s="47" t="n"/>
      <c r="E41" s="48" t="n"/>
      <c r="F41" s="37" t="n"/>
      <c r="G41" s="38" t="n"/>
      <c r="H41" s="35" t="n"/>
      <c r="I41" s="50" t="n"/>
      <c r="J41" s="35" t="n"/>
      <c r="K41" s="35" t="n"/>
    </row>
    <row r="42">
      <c r="A42" s="35" t="n"/>
      <c r="B42" s="46" t="n"/>
      <c r="C42" s="35" t="n"/>
      <c r="D42" s="47" t="n"/>
      <c r="E42" s="48" t="n"/>
      <c r="F42" s="37" t="n"/>
      <c r="G42" s="38" t="n"/>
      <c r="H42" s="35" t="n"/>
      <c r="I42" s="50" t="n"/>
      <c r="J42" s="35" t="n"/>
      <c r="K42" s="35" t="n"/>
    </row>
    <row r="43">
      <c r="A43" s="35" t="n"/>
      <c r="B43" s="46" t="n"/>
      <c r="C43" s="35" t="n"/>
      <c r="D43" s="47" t="n"/>
      <c r="E43" s="48" t="n"/>
      <c r="F43" s="37" t="n"/>
      <c r="G43" s="38" t="n"/>
      <c r="H43" s="35" t="n"/>
      <c r="I43" s="50" t="n"/>
      <c r="J43" s="35" t="n"/>
      <c r="K43" s="35" t="n"/>
    </row>
    <row r="44">
      <c r="A44" s="35" t="n"/>
      <c r="B44" s="46" t="n"/>
      <c r="C44" s="35" t="n"/>
      <c r="D44" s="47" t="n"/>
      <c r="E44" s="48" t="n"/>
      <c r="F44" s="37" t="n"/>
      <c r="G44" s="38" t="n"/>
      <c r="H44" s="35" t="n"/>
      <c r="I44" s="50" t="n"/>
      <c r="J44" s="35" t="n"/>
      <c r="K44" s="35" t="n"/>
    </row>
    <row r="45">
      <c r="A45" s="35" t="n"/>
      <c r="B45" s="46" t="n"/>
      <c r="C45" s="35" t="n"/>
      <c r="D45" s="47" t="n"/>
      <c r="E45" s="48" t="n"/>
      <c r="F45" s="37" t="n"/>
      <c r="G45" s="38" t="n"/>
      <c r="H45" s="35" t="n"/>
      <c r="I45" s="50" t="n"/>
      <c r="J45" s="35" t="n"/>
      <c r="K45" s="35" t="n"/>
    </row>
    <row r="46">
      <c r="A46" s="35" t="n"/>
      <c r="B46" s="46" t="n"/>
      <c r="C46" s="35" t="n"/>
      <c r="D46" s="47" t="n"/>
      <c r="E46" s="48" t="n"/>
      <c r="F46" s="37" t="n"/>
      <c r="G46" s="38" t="n"/>
      <c r="H46" s="35" t="n"/>
      <c r="I46" s="50" t="n"/>
      <c r="J46" s="35" t="n"/>
      <c r="K46" s="35" t="n"/>
    </row>
    <row r="47">
      <c r="A47" s="35" t="n"/>
      <c r="B47" s="46" t="n"/>
      <c r="C47" s="35" t="n"/>
      <c r="D47" s="47" t="n"/>
      <c r="E47" s="48" t="n"/>
      <c r="F47" s="37" t="n"/>
      <c r="G47" s="38" t="n"/>
      <c r="H47" s="35" t="n"/>
      <c r="I47" s="50" t="n"/>
      <c r="J47" s="35" t="n"/>
      <c r="K47" s="35" t="n"/>
    </row>
    <row r="48">
      <c r="A48" s="35" t="n"/>
      <c r="B48" s="46" t="n"/>
      <c r="C48" s="35" t="n"/>
      <c r="D48" s="47" t="n"/>
      <c r="E48" s="48" t="n"/>
      <c r="F48" s="37" t="n"/>
      <c r="G48" s="38" t="n"/>
      <c r="H48" s="35" t="n"/>
      <c r="I48" s="50" t="n"/>
      <c r="J48" s="35" t="n"/>
      <c r="K48" s="35" t="n"/>
    </row>
    <row r="49">
      <c r="A49" s="35" t="n"/>
      <c r="B49" s="46" t="n"/>
      <c r="C49" s="35" t="n"/>
      <c r="D49" s="47" t="n"/>
      <c r="E49" s="48" t="n"/>
      <c r="F49" s="37" t="n"/>
      <c r="G49" s="38" t="n"/>
      <c r="H49" s="35" t="n"/>
      <c r="I49" s="50" t="n"/>
      <c r="J49" s="35" t="n"/>
      <c r="K49" s="35" t="n"/>
    </row>
    <row r="50">
      <c r="A50" s="35" t="n"/>
      <c r="B50" s="46" t="n"/>
      <c r="C50" s="35" t="n"/>
      <c r="D50" s="47" t="n"/>
      <c r="E50" s="48" t="n"/>
      <c r="F50" s="37" t="n"/>
      <c r="G50" s="38" t="n"/>
      <c r="H50" s="35" t="n"/>
      <c r="I50" s="50" t="n"/>
      <c r="J50" s="35" t="n"/>
      <c r="K50" s="35" t="n"/>
    </row>
    <row r="51">
      <c r="A51" s="35" t="n"/>
      <c r="B51" s="46" t="n"/>
      <c r="C51" s="35" t="n"/>
      <c r="D51" s="47" t="n"/>
      <c r="E51" s="48" t="n"/>
      <c r="F51" s="37" t="n"/>
      <c r="G51" s="38" t="n"/>
      <c r="H51" s="35" t="n"/>
      <c r="I51" s="50" t="n"/>
      <c r="J51" s="35" t="n"/>
      <c r="K51" s="35" t="n"/>
    </row>
    <row r="52">
      <c r="A52" s="35" t="n"/>
      <c r="B52" s="46" t="n"/>
      <c r="C52" s="35" t="n"/>
      <c r="D52" s="47" t="n"/>
      <c r="E52" s="48" t="n"/>
      <c r="F52" s="37" t="n"/>
      <c r="G52" s="38" t="n"/>
      <c r="H52" s="35" t="n"/>
      <c r="I52" s="50" t="n"/>
      <c r="J52" s="35" t="n"/>
      <c r="K52" s="35" t="n"/>
    </row>
    <row r="53">
      <c r="A53" s="35" t="n"/>
      <c r="B53" s="46" t="n"/>
      <c r="C53" s="35" t="n"/>
      <c r="D53" s="47" t="n"/>
      <c r="E53" s="48" t="n"/>
      <c r="F53" s="37" t="n"/>
      <c r="G53" s="38" t="n"/>
      <c r="H53" s="35" t="n"/>
      <c r="I53" s="50" t="n"/>
      <c r="J53" s="35" t="n"/>
      <c r="K53" s="35" t="n"/>
    </row>
    <row r="54">
      <c r="A54" s="35" t="n"/>
      <c r="B54" s="46" t="n"/>
      <c r="C54" s="35" t="n"/>
      <c r="D54" s="47" t="n"/>
      <c r="E54" s="48" t="n"/>
      <c r="F54" s="37" t="n"/>
      <c r="G54" s="38" t="n"/>
      <c r="H54" s="35" t="n"/>
      <c r="I54" s="50" t="n"/>
      <c r="J54" s="35" t="n"/>
      <c r="K54" s="35" t="n"/>
    </row>
    <row r="55">
      <c r="A55" s="35" t="n"/>
      <c r="B55" s="46" t="n"/>
      <c r="C55" s="35" t="n"/>
      <c r="D55" s="47" t="n"/>
      <c r="E55" s="48" t="n"/>
      <c r="F55" s="37" t="n"/>
      <c r="G55" s="38" t="n"/>
      <c r="H55" s="35" t="n"/>
      <c r="I55" s="50" t="n"/>
      <c r="J55" s="35" t="n"/>
      <c r="K55" s="35" t="n"/>
    </row>
    <row r="56">
      <c r="A56" s="35" t="n"/>
      <c r="B56" s="46" t="n"/>
      <c r="C56" s="35" t="n"/>
      <c r="D56" s="47" t="n"/>
      <c r="E56" s="48" t="n"/>
      <c r="F56" s="37" t="n"/>
      <c r="G56" s="38" t="n"/>
      <c r="H56" s="35" t="n"/>
      <c r="I56" s="50" t="n"/>
      <c r="J56" s="35" t="n"/>
      <c r="K56" s="35" t="n"/>
    </row>
    <row r="57">
      <c r="A57" s="35" t="n"/>
      <c r="B57" s="46" t="n"/>
      <c r="C57" s="35" t="n"/>
      <c r="D57" s="47" t="n"/>
      <c r="E57" s="48" t="n"/>
      <c r="F57" s="37" t="n"/>
      <c r="G57" s="38" t="n"/>
      <c r="H57" s="35" t="n"/>
      <c r="I57" s="50" t="n"/>
      <c r="J57" s="35" t="n"/>
      <c r="K57" s="35" t="n"/>
    </row>
    <row r="58">
      <c r="A58" s="35" t="n"/>
      <c r="B58" s="46" t="n"/>
      <c r="C58" s="35" t="n"/>
      <c r="D58" s="47" t="n"/>
      <c r="E58" s="48" t="n"/>
      <c r="F58" s="37" t="n"/>
      <c r="G58" s="38" t="n"/>
      <c r="H58" s="35" t="n"/>
      <c r="I58" s="50" t="n"/>
      <c r="J58" s="35" t="n"/>
      <c r="K58" s="35" t="n"/>
    </row>
    <row r="59">
      <c r="A59" s="35" t="n"/>
      <c r="B59" s="46" t="n"/>
      <c r="C59" s="35" t="n"/>
      <c r="D59" s="47" t="n"/>
      <c r="E59" s="48" t="n"/>
      <c r="F59" s="37" t="n"/>
      <c r="G59" s="38" t="n"/>
      <c r="H59" s="35" t="n"/>
      <c r="I59" s="50" t="n"/>
      <c r="J59" s="35" t="n"/>
      <c r="K59" s="35" t="n"/>
    </row>
    <row r="60">
      <c r="A60" s="35" t="n"/>
      <c r="B60" s="46" t="n"/>
      <c r="C60" s="35" t="n"/>
      <c r="D60" s="47" t="n"/>
      <c r="E60" s="48" t="n"/>
      <c r="F60" s="37" t="n"/>
      <c r="G60" s="38" t="n"/>
      <c r="H60" s="35" t="n"/>
      <c r="I60" s="50" t="n"/>
      <c r="J60" s="35" t="n"/>
      <c r="K60" s="35" t="n"/>
    </row>
    <row r="61">
      <c r="A61" s="35" t="n"/>
      <c r="B61" s="46" t="n"/>
      <c r="C61" s="35" t="n"/>
      <c r="D61" s="47" t="n"/>
      <c r="E61" s="48" t="n"/>
      <c r="F61" s="37" t="n"/>
      <c r="G61" s="38" t="n"/>
      <c r="H61" s="35" t="n"/>
      <c r="I61" s="50" t="n"/>
      <c r="J61" s="35" t="n"/>
      <c r="K61" s="35" t="n"/>
    </row>
    <row r="62">
      <c r="A62" s="35" t="n"/>
      <c r="B62" s="46" t="n"/>
      <c r="C62" s="35" t="n"/>
      <c r="D62" s="47" t="n"/>
      <c r="E62" s="48" t="n"/>
      <c r="F62" s="37" t="n"/>
      <c r="G62" s="38" t="n"/>
      <c r="H62" s="35" t="n"/>
      <c r="I62" s="50" t="n"/>
      <c r="J62" s="35" t="n"/>
      <c r="K62" s="35" t="n"/>
    </row>
    <row r="63">
      <c r="A63" s="35" t="n"/>
      <c r="B63" s="46" t="n"/>
      <c r="C63" s="35" t="n"/>
      <c r="D63" s="47" t="n"/>
      <c r="E63" s="48" t="n"/>
      <c r="F63" s="37" t="n"/>
      <c r="G63" s="38" t="n"/>
      <c r="H63" s="35" t="n"/>
      <c r="I63" s="50" t="n"/>
      <c r="J63" s="35" t="n"/>
      <c r="K63" s="35" t="n"/>
    </row>
    <row r="64">
      <c r="A64" s="35" t="n"/>
      <c r="B64" s="46" t="n"/>
      <c r="C64" s="35" t="n"/>
      <c r="D64" s="47" t="n"/>
      <c r="E64" s="48" t="n"/>
      <c r="F64" s="37" t="n"/>
      <c r="G64" s="38" t="n"/>
      <c r="H64" s="35" t="n"/>
      <c r="I64" s="50" t="n"/>
      <c r="J64" s="35" t="n"/>
      <c r="K64" s="35" t="n"/>
    </row>
    <row r="65">
      <c r="A65" s="35" t="n"/>
      <c r="B65" s="46" t="n"/>
      <c r="C65" s="35" t="n"/>
      <c r="D65" s="47" t="n"/>
      <c r="E65" s="48" t="n"/>
      <c r="F65" s="37" t="n"/>
      <c r="G65" s="38" t="n"/>
      <c r="H65" s="35" t="n"/>
      <c r="I65" s="50" t="n"/>
      <c r="J65" s="35" t="n"/>
      <c r="K65" s="35" t="n"/>
    </row>
    <row r="66">
      <c r="A66" s="35" t="n"/>
      <c r="B66" s="46" t="n"/>
      <c r="C66" s="35" t="n"/>
      <c r="D66" s="47" t="n"/>
      <c r="E66" s="48" t="n"/>
      <c r="F66" s="37" t="n"/>
      <c r="G66" s="38" t="n"/>
      <c r="H66" s="35" t="n"/>
      <c r="I66" s="50" t="n"/>
      <c r="J66" s="35" t="n"/>
      <c r="K66" s="35" t="n"/>
    </row>
    <row r="67">
      <c r="A67" s="35" t="n"/>
      <c r="B67" s="46" t="n"/>
      <c r="C67" s="35" t="n"/>
      <c r="D67" s="47" t="n"/>
      <c r="E67" s="48" t="n"/>
      <c r="F67" s="37" t="n"/>
      <c r="G67" s="38" t="n"/>
      <c r="H67" s="35" t="n"/>
      <c r="I67" s="50" t="n"/>
      <c r="J67" s="35" t="n"/>
      <c r="K67" s="35" t="n"/>
    </row>
    <row r="68">
      <c r="A68" s="35" t="n"/>
      <c r="B68" s="46" t="n"/>
      <c r="C68" s="35" t="n"/>
      <c r="D68" s="47" t="n"/>
      <c r="E68" s="48" t="n"/>
      <c r="F68" s="37" t="n"/>
      <c r="G68" s="38" t="n"/>
      <c r="H68" s="35" t="n"/>
      <c r="I68" s="50" t="n"/>
      <c r="J68" s="35" t="n"/>
      <c r="K68" s="35" t="n"/>
    </row>
    <row r="69">
      <c r="A69" s="35" t="n"/>
      <c r="B69" s="46" t="n"/>
      <c r="C69" s="35" t="n"/>
      <c r="D69" s="47" t="n"/>
      <c r="E69" s="48" t="n"/>
      <c r="F69" s="37" t="n"/>
      <c r="G69" s="38" t="n"/>
      <c r="H69" s="35" t="n"/>
      <c r="I69" s="50" t="n"/>
      <c r="J69" s="35" t="n"/>
      <c r="K69" s="35" t="n"/>
    </row>
    <row r="70">
      <c r="A70" s="35" t="n"/>
      <c r="B70" s="46" t="n"/>
      <c r="C70" s="35" t="n"/>
      <c r="D70" s="47" t="n"/>
      <c r="E70" s="48" t="n"/>
      <c r="F70" s="37" t="n"/>
      <c r="G70" s="38" t="n"/>
      <c r="H70" s="35" t="n"/>
      <c r="I70" s="50" t="n"/>
      <c r="J70" s="35" t="n"/>
      <c r="K70" s="35" t="n"/>
    </row>
    <row r="71">
      <c r="A71" s="35" t="n"/>
      <c r="B71" s="46" t="n"/>
      <c r="C71" s="35" t="n"/>
      <c r="D71" s="47" t="n"/>
      <c r="E71" s="48" t="n"/>
      <c r="F71" s="37" t="n"/>
      <c r="G71" s="38" t="n"/>
      <c r="H71" s="35" t="n"/>
      <c r="I71" s="50" t="n"/>
      <c r="J71" s="35" t="n"/>
      <c r="K71" s="35" t="n"/>
    </row>
    <row r="72">
      <c r="A72" s="35" t="n"/>
      <c r="B72" s="46" t="n"/>
      <c r="C72" s="35" t="n"/>
      <c r="D72" s="47" t="n"/>
      <c r="E72" s="48" t="n"/>
      <c r="F72" s="37" t="n"/>
      <c r="G72" s="38" t="n"/>
      <c r="H72" s="35" t="n"/>
      <c r="I72" s="50" t="n"/>
      <c r="J72" s="35" t="n"/>
      <c r="K72" s="35" t="n"/>
    </row>
    <row r="73">
      <c r="A73" s="35" t="n"/>
      <c r="B73" s="46" t="n"/>
      <c r="C73" s="35" t="n"/>
      <c r="D73" s="47" t="n"/>
      <c r="E73" s="48" t="n"/>
      <c r="F73" s="37" t="n"/>
      <c r="G73" s="38" t="n"/>
      <c r="H73" s="35" t="n"/>
      <c r="I73" s="50" t="n"/>
      <c r="J73" s="35" t="n"/>
      <c r="K73" s="35" t="n"/>
    </row>
    <row r="74">
      <c r="A74" s="35" t="n"/>
      <c r="B74" s="46" t="n"/>
      <c r="C74" s="35" t="n"/>
      <c r="D74" s="47" t="n"/>
      <c r="E74" s="48" t="n"/>
      <c r="F74" s="37" t="n"/>
      <c r="G74" s="38" t="n"/>
      <c r="H74" s="35" t="n"/>
      <c r="I74" s="50" t="n"/>
      <c r="J74" s="35" t="n"/>
      <c r="K74" s="35" t="n"/>
    </row>
    <row r="75">
      <c r="A75" s="35" t="n"/>
      <c r="B75" s="46" t="n"/>
      <c r="C75" s="35" t="n"/>
      <c r="D75" s="47" t="n"/>
      <c r="E75" s="48" t="n"/>
      <c r="F75" s="37" t="n"/>
      <c r="G75" s="38" t="n"/>
      <c r="H75" s="35" t="n"/>
      <c r="I75" s="50" t="n"/>
      <c r="J75" s="35" t="n"/>
      <c r="K75" s="35" t="n"/>
    </row>
    <row r="76">
      <c r="A76" s="35" t="n"/>
      <c r="B76" s="46" t="n"/>
      <c r="C76" s="35" t="n"/>
      <c r="D76" s="47" t="n"/>
      <c r="E76" s="48" t="n"/>
      <c r="F76" s="37" t="n"/>
      <c r="G76" s="38" t="n"/>
      <c r="H76" s="35" t="n"/>
      <c r="I76" s="50" t="n"/>
      <c r="J76" s="35" t="n"/>
      <c r="K76" s="35" t="n"/>
    </row>
    <row r="77">
      <c r="A77" s="35" t="n"/>
      <c r="B77" s="46" t="n"/>
      <c r="C77" s="35" t="n"/>
      <c r="D77" s="47" t="n"/>
      <c r="E77" s="48" t="n"/>
      <c r="F77" s="37" t="n"/>
      <c r="G77" s="38" t="n"/>
      <c r="H77" s="35" t="n"/>
      <c r="I77" s="50" t="n"/>
      <c r="J77" s="35" t="n"/>
      <c r="K77" s="35" t="n"/>
    </row>
    <row r="78">
      <c r="A78" s="35" t="n"/>
      <c r="B78" s="46" t="n"/>
      <c r="C78" s="35" t="n"/>
      <c r="D78" s="47" t="n"/>
      <c r="E78" s="48" t="n"/>
      <c r="F78" s="37" t="n"/>
      <c r="G78" s="38" t="n"/>
      <c r="H78" s="35" t="n"/>
      <c r="I78" s="50" t="n"/>
      <c r="J78" s="35" t="n"/>
      <c r="K78" s="35" t="n"/>
    </row>
    <row r="79">
      <c r="A79" s="35" t="n"/>
      <c r="B79" s="46" t="n"/>
      <c r="C79" s="35" t="n"/>
      <c r="D79" s="47" t="n"/>
      <c r="E79" s="48" t="n"/>
      <c r="F79" s="37" t="n"/>
      <c r="G79" s="38" t="n"/>
      <c r="H79" s="35" t="n"/>
      <c r="I79" s="50" t="n"/>
      <c r="J79" s="35" t="n"/>
      <c r="K79" s="35" t="n"/>
    </row>
    <row r="80">
      <c r="A80" s="35" t="n"/>
      <c r="B80" s="46" t="n"/>
      <c r="C80" s="35" t="n"/>
      <c r="D80" s="47" t="n"/>
      <c r="E80" s="48" t="n"/>
      <c r="F80" s="37" t="n"/>
      <c r="G80" s="38" t="n"/>
      <c r="H80" s="35" t="n"/>
      <c r="I80" s="50" t="n"/>
      <c r="J80" s="35" t="n"/>
      <c r="K80" s="35" t="n"/>
    </row>
    <row r="81">
      <c r="A81" s="35" t="n"/>
      <c r="B81" s="46" t="n"/>
      <c r="C81" s="35" t="n"/>
      <c r="D81" s="47" t="n"/>
      <c r="E81" s="48" t="n"/>
      <c r="F81" s="37" t="n"/>
      <c r="G81" s="38" t="n"/>
      <c r="H81" s="35" t="n"/>
      <c r="I81" s="50" t="n"/>
      <c r="J81" s="35" t="n"/>
      <c r="K81" s="35" t="n"/>
    </row>
    <row r="82">
      <c r="A82" s="35" t="n"/>
      <c r="B82" s="46" t="n"/>
      <c r="C82" s="35" t="n"/>
      <c r="D82" s="47" t="n"/>
      <c r="E82" s="48" t="n"/>
      <c r="F82" s="37" t="n"/>
      <c r="G82" s="38" t="n"/>
      <c r="H82" s="35" t="n"/>
      <c r="I82" s="50" t="n"/>
      <c r="J82" s="35" t="n"/>
      <c r="K82" s="35" t="n"/>
    </row>
    <row r="83">
      <c r="A83" s="35" t="n"/>
      <c r="B83" s="46" t="n"/>
      <c r="C83" s="35" t="n"/>
      <c r="D83" s="47" t="n"/>
      <c r="E83" s="48" t="n"/>
      <c r="F83" s="37" t="n"/>
      <c r="G83" s="38" t="n"/>
      <c r="H83" s="35" t="n"/>
      <c r="I83" s="50" t="n"/>
      <c r="J83" s="35" t="n"/>
      <c r="K83" s="35" t="n"/>
    </row>
    <row r="84">
      <c r="A84" s="35" t="n"/>
      <c r="B84" s="46" t="n"/>
      <c r="C84" s="35" t="n"/>
      <c r="D84" s="47" t="n"/>
      <c r="E84" s="48" t="n"/>
      <c r="F84" s="37" t="n"/>
      <c r="G84" s="38" t="n"/>
      <c r="H84" s="35" t="n"/>
      <c r="I84" s="50" t="n"/>
      <c r="J84" s="35" t="n"/>
      <c r="K84" s="35" t="n"/>
    </row>
    <row r="85">
      <c r="A85" s="35" t="n"/>
      <c r="B85" s="46" t="n"/>
      <c r="C85" s="35" t="n"/>
      <c r="D85" s="47" t="n"/>
      <c r="E85" s="48" t="n"/>
      <c r="F85" s="37" t="n"/>
      <c r="G85" s="38" t="n"/>
      <c r="H85" s="35" t="n"/>
      <c r="I85" s="50" t="n"/>
      <c r="J85" s="35" t="n"/>
      <c r="K85" s="35" t="n"/>
    </row>
    <row r="86">
      <c r="A86" s="35" t="n"/>
      <c r="B86" s="46" t="n"/>
      <c r="C86" s="35" t="n"/>
      <c r="D86" s="47" t="n"/>
      <c r="E86" s="48" t="n"/>
      <c r="F86" s="37" t="n"/>
      <c r="G86" s="38" t="n"/>
      <c r="H86" s="35" t="n"/>
      <c r="I86" s="50" t="n"/>
      <c r="J86" s="35" t="n"/>
      <c r="K86" s="35" t="n"/>
    </row>
    <row r="87">
      <c r="A87" s="35" t="n"/>
      <c r="B87" s="46" t="n"/>
      <c r="C87" s="35" t="n"/>
      <c r="D87" s="47" t="n"/>
      <c r="E87" s="48" t="n"/>
      <c r="F87" s="37" t="n"/>
      <c r="G87" s="38" t="n"/>
      <c r="H87" s="35" t="n"/>
      <c r="I87" s="50" t="n"/>
      <c r="J87" s="35" t="n"/>
      <c r="K87" s="35" t="n"/>
    </row>
    <row r="88">
      <c r="A88" s="35" t="n"/>
      <c r="B88" s="46" t="n"/>
      <c r="C88" s="35" t="n"/>
      <c r="D88" s="47" t="n"/>
      <c r="E88" s="48" t="n"/>
      <c r="F88" s="37" t="n"/>
      <c r="G88" s="38" t="n"/>
      <c r="H88" s="35" t="n"/>
      <c r="I88" s="50" t="n"/>
      <c r="J88" s="35" t="n"/>
      <c r="K88" s="35" t="n"/>
    </row>
    <row r="89">
      <c r="A89" s="35" t="n"/>
      <c r="B89" s="46" t="n"/>
      <c r="C89" s="35" t="n"/>
      <c r="D89" s="47" t="n"/>
      <c r="E89" s="48" t="n"/>
      <c r="F89" s="37" t="n"/>
      <c r="G89" s="38" t="n"/>
      <c r="H89" s="35" t="n"/>
      <c r="I89" s="50" t="n"/>
      <c r="J89" s="35" t="n"/>
      <c r="K89" s="35" t="n"/>
    </row>
    <row r="90">
      <c r="A90" s="35" t="n"/>
      <c r="B90" s="46" t="n"/>
      <c r="C90" s="35" t="n"/>
      <c r="D90" s="47" t="n"/>
      <c r="E90" s="48" t="n"/>
      <c r="F90" s="37" t="n"/>
      <c r="G90" s="38" t="n"/>
      <c r="H90" s="35" t="n"/>
      <c r="I90" s="50" t="n"/>
      <c r="J90" s="35" t="n"/>
      <c r="K90" s="35" t="n"/>
    </row>
    <row r="91">
      <c r="A91" s="35" t="n"/>
      <c r="B91" s="46" t="n"/>
      <c r="C91" s="35" t="n"/>
      <c r="D91" s="47" t="n"/>
      <c r="E91" s="48" t="n"/>
      <c r="F91" s="37" t="n"/>
      <c r="G91" s="38" t="n"/>
      <c r="H91" s="35" t="n"/>
      <c r="I91" s="50" t="n"/>
      <c r="J91" s="35" t="n"/>
      <c r="K91" s="35" t="n"/>
    </row>
    <row r="92">
      <c r="A92" s="35" t="n"/>
      <c r="B92" s="46" t="n"/>
      <c r="C92" s="35" t="n"/>
      <c r="D92" s="47" t="n"/>
      <c r="E92" s="48" t="n"/>
      <c r="F92" s="37" t="n"/>
      <c r="G92" s="38" t="n"/>
      <c r="H92" s="35" t="n"/>
      <c r="I92" s="50" t="n"/>
      <c r="J92" s="35" t="n"/>
      <c r="K92" s="35" t="n"/>
    </row>
    <row r="93">
      <c r="A93" s="35" t="n"/>
      <c r="B93" s="46" t="n"/>
      <c r="C93" s="35" t="n"/>
      <c r="D93" s="47" t="n"/>
      <c r="E93" s="48" t="n"/>
      <c r="F93" s="37" t="n"/>
      <c r="G93" s="38" t="n"/>
      <c r="H93" s="35" t="n"/>
      <c r="I93" s="50" t="n"/>
      <c r="J93" s="35" t="n"/>
      <c r="K93" s="35" t="n"/>
    </row>
    <row r="94">
      <c r="A94" s="35" t="n"/>
      <c r="B94" s="46" t="n"/>
      <c r="C94" s="35" t="n"/>
      <c r="D94" s="47" t="n"/>
      <c r="E94" s="48" t="n"/>
      <c r="F94" s="37" t="n"/>
      <c r="G94" s="38" t="n"/>
      <c r="H94" s="35" t="n"/>
      <c r="I94" s="50" t="n"/>
      <c r="J94" s="35" t="n"/>
      <c r="K94" s="35" t="n"/>
    </row>
    <row r="95">
      <c r="A95" s="35" t="n"/>
      <c r="B95" s="46" t="n"/>
      <c r="C95" s="35" t="n"/>
      <c r="D95" s="47" t="n"/>
      <c r="E95" s="48" t="n"/>
      <c r="F95" s="37" t="n"/>
      <c r="G95" s="38" t="n"/>
      <c r="H95" s="35" t="n"/>
      <c r="I95" s="50" t="n"/>
      <c r="J95" s="35" t="n"/>
      <c r="K95" s="35" t="n"/>
    </row>
    <row r="96">
      <c r="A96" s="35" t="n"/>
      <c r="B96" s="46" t="n"/>
      <c r="C96" s="35" t="n"/>
      <c r="D96" s="47" t="n"/>
      <c r="E96" s="48" t="n"/>
      <c r="F96" s="37" t="n"/>
      <c r="G96" s="38" t="n"/>
      <c r="H96" s="35" t="n"/>
      <c r="I96" s="50" t="n"/>
      <c r="J96" s="35" t="n"/>
      <c r="K96" s="35" t="n"/>
    </row>
    <row r="97">
      <c r="A97" s="35" t="n"/>
      <c r="B97" s="46" t="n"/>
      <c r="C97" s="35" t="n"/>
      <c r="D97" s="47" t="n"/>
      <c r="E97" s="48" t="n"/>
      <c r="F97" s="37" t="n"/>
      <c r="G97" s="38" t="n"/>
      <c r="H97" s="35" t="n"/>
      <c r="I97" s="50" t="n"/>
      <c r="J97" s="35" t="n"/>
      <c r="K97" s="35" t="n"/>
    </row>
    <row r="98">
      <c r="A98" s="35" t="n"/>
      <c r="B98" s="46" t="n"/>
      <c r="C98" s="35" t="n"/>
      <c r="D98" s="47" t="n"/>
      <c r="E98" s="48" t="n"/>
      <c r="F98" s="37" t="n"/>
      <c r="G98" s="38" t="n"/>
      <c r="H98" s="35" t="n"/>
      <c r="I98" s="50" t="n"/>
      <c r="J98" s="35" t="n"/>
      <c r="K98" s="35" t="n"/>
    </row>
    <row r="99">
      <c r="A99" s="35" t="n"/>
      <c r="B99" s="46" t="n"/>
      <c r="C99" s="35" t="n"/>
      <c r="D99" s="47" t="n"/>
      <c r="E99" s="48" t="n"/>
      <c r="F99" s="37" t="n"/>
      <c r="G99" s="38" t="n"/>
      <c r="H99" s="35" t="n"/>
      <c r="I99" s="50" t="n"/>
      <c r="J99" s="35" t="n"/>
      <c r="K99" s="35" t="n"/>
    </row>
    <row r="100">
      <c r="A100" s="35" t="n"/>
      <c r="B100" s="46" t="n"/>
      <c r="C100" s="35" t="n"/>
      <c r="D100" s="47" t="n"/>
      <c r="E100" s="48" t="n"/>
      <c r="F100" s="37" t="n"/>
      <c r="G100" s="38" t="n"/>
      <c r="H100" s="35" t="n"/>
      <c r="I100" s="50" t="n"/>
      <c r="J100" s="35" t="n"/>
      <c r="K100" s="35" t="n"/>
    </row>
    <row r="101">
      <c r="A101" s="35" t="n"/>
      <c r="B101" s="46" t="n"/>
      <c r="C101" s="35" t="n"/>
      <c r="D101" s="47" t="n"/>
      <c r="E101" s="48" t="n"/>
      <c r="F101" s="37" t="n"/>
      <c r="G101" s="38" t="n"/>
      <c r="H101" s="35" t="n"/>
      <c r="I101" s="50" t="n"/>
      <c r="J101" s="35" t="n"/>
      <c r="K101" s="35" t="n"/>
    </row>
    <row r="102">
      <c r="A102" s="35" t="n"/>
      <c r="B102" s="46" t="n"/>
      <c r="C102" s="35" t="n"/>
      <c r="D102" s="47" t="n"/>
      <c r="E102" s="48" t="n"/>
      <c r="F102" s="37" t="n"/>
      <c r="G102" s="38" t="n"/>
      <c r="H102" s="35" t="n"/>
      <c r="I102" s="50" t="n"/>
      <c r="J102" s="35" t="n"/>
      <c r="K102" s="35" t="n"/>
    </row>
    <row r="103">
      <c r="A103" s="35" t="n"/>
      <c r="B103" s="46" t="n"/>
      <c r="C103" s="35" t="n"/>
      <c r="D103" s="47" t="n"/>
      <c r="E103" s="48" t="n"/>
      <c r="F103" s="37" t="n"/>
      <c r="G103" s="38" t="n"/>
      <c r="H103" s="35" t="n"/>
      <c r="I103" s="50" t="n"/>
      <c r="J103" s="35" t="n"/>
      <c r="K103" s="35" t="n"/>
    </row>
    <row r="104">
      <c r="A104" s="35" t="n"/>
      <c r="B104" s="46" t="n"/>
      <c r="C104" s="35" t="n"/>
      <c r="D104" s="47" t="n"/>
      <c r="E104" s="48" t="n"/>
      <c r="F104" s="37" t="n"/>
      <c r="G104" s="38" t="n"/>
      <c r="H104" s="35" t="n"/>
      <c r="I104" s="50" t="n"/>
      <c r="J104" s="35" t="n"/>
      <c r="K104" s="35" t="n"/>
    </row>
    <row r="105">
      <c r="A105" s="35" t="n"/>
      <c r="B105" s="46" t="n"/>
      <c r="C105" s="35" t="n"/>
      <c r="D105" s="47" t="n"/>
      <c r="E105" s="48" t="n"/>
      <c r="F105" s="37" t="n"/>
      <c r="G105" s="38" t="n"/>
      <c r="H105" s="35" t="n"/>
      <c r="I105" s="50" t="n"/>
      <c r="J105" s="35" t="n"/>
      <c r="K105" s="35" t="n"/>
    </row>
    <row r="106">
      <c r="A106" s="35" t="n"/>
      <c r="B106" s="46" t="n"/>
      <c r="C106" s="35" t="n"/>
      <c r="D106" s="47" t="n"/>
      <c r="E106" s="48" t="n"/>
      <c r="F106" s="37" t="n"/>
      <c r="G106" s="38" t="n"/>
      <c r="H106" s="35" t="n"/>
      <c r="I106" s="50" t="n"/>
      <c r="J106" s="35" t="n"/>
      <c r="K106" s="35" t="n"/>
    </row>
    <row r="107">
      <c r="A107" s="35" t="n"/>
      <c r="B107" s="46" t="n"/>
      <c r="C107" s="35" t="n"/>
      <c r="D107" s="47" t="n"/>
      <c r="E107" s="48" t="n"/>
      <c r="F107" s="37" t="n"/>
      <c r="G107" s="38" t="n"/>
      <c r="H107" s="35" t="n"/>
      <c r="I107" s="50" t="n"/>
      <c r="J107" s="35" t="n"/>
      <c r="K107" s="35" t="n"/>
    </row>
    <row r="108">
      <c r="A108" s="35" t="n"/>
      <c r="B108" s="46" t="n"/>
      <c r="C108" s="35" t="n"/>
      <c r="D108" s="47" t="n"/>
      <c r="E108" s="48" t="n"/>
      <c r="F108" s="37" t="n"/>
      <c r="G108" s="38" t="n"/>
      <c r="H108" s="35" t="n"/>
      <c r="I108" s="50" t="n"/>
      <c r="J108" s="35" t="n"/>
      <c r="K108" s="35" t="n"/>
    </row>
    <row r="109">
      <c r="A109" s="35" t="n"/>
      <c r="B109" s="46" t="n"/>
      <c r="C109" s="35" t="n"/>
      <c r="D109" s="47" t="n"/>
      <c r="E109" s="48" t="n"/>
      <c r="F109" s="37" t="n"/>
      <c r="G109" s="38" t="n"/>
      <c r="H109" s="35" t="n"/>
      <c r="I109" s="50" t="n"/>
      <c r="J109" s="35" t="n"/>
      <c r="K109" s="35" t="n"/>
    </row>
    <row r="110">
      <c r="A110" s="35" t="n"/>
      <c r="B110" s="46" t="n"/>
      <c r="C110" s="35" t="n"/>
      <c r="D110" s="47" t="n"/>
      <c r="E110" s="48" t="n"/>
      <c r="F110" s="37" t="n"/>
      <c r="G110" s="38" t="n"/>
      <c r="H110" s="35" t="n"/>
      <c r="I110" s="50" t="n"/>
      <c r="J110" s="35" t="n"/>
      <c r="K110" s="35" t="n"/>
    </row>
    <row r="111">
      <c r="A111" s="35" t="n"/>
      <c r="B111" s="46" t="n"/>
      <c r="C111" s="35" t="n"/>
      <c r="D111" s="47" t="n"/>
      <c r="E111" s="48" t="n"/>
      <c r="F111" s="37" t="n"/>
      <c r="G111" s="38" t="n"/>
      <c r="H111" s="35" t="n"/>
      <c r="I111" s="50" t="n"/>
      <c r="J111" s="35" t="n"/>
      <c r="K111" s="35" t="n"/>
    </row>
    <row r="112">
      <c r="A112" s="35" t="n"/>
      <c r="B112" s="46" t="n"/>
      <c r="C112" s="35" t="n"/>
      <c r="D112" s="47" t="n"/>
      <c r="E112" s="48" t="n"/>
      <c r="F112" s="37" t="n"/>
      <c r="G112" s="38" t="n"/>
      <c r="H112" s="35" t="n"/>
      <c r="I112" s="50" t="n"/>
      <c r="J112" s="35" t="n"/>
      <c r="K112" s="35" t="n"/>
    </row>
    <row r="113">
      <c r="A113" s="35" t="n"/>
      <c r="B113" s="46" t="n"/>
      <c r="C113" s="35" t="n"/>
      <c r="D113" s="47" t="n"/>
      <c r="E113" s="48" t="n"/>
      <c r="F113" s="37" t="n"/>
      <c r="G113" s="38" t="n"/>
      <c r="H113" s="35" t="n"/>
      <c r="I113" s="50" t="n"/>
      <c r="J113" s="35" t="n"/>
      <c r="K113" s="35" t="n"/>
    </row>
    <row r="114">
      <c r="A114" s="35" t="n"/>
      <c r="B114" s="46" t="n"/>
      <c r="C114" s="35" t="n"/>
      <c r="D114" s="47" t="n"/>
      <c r="E114" s="48" t="n"/>
      <c r="F114" s="37" t="n"/>
      <c r="G114" s="38" t="n"/>
      <c r="H114" s="35" t="n"/>
      <c r="I114" s="50" t="n"/>
      <c r="J114" s="35" t="n"/>
      <c r="K114" s="35" t="n"/>
    </row>
    <row r="115">
      <c r="A115" s="35" t="n"/>
      <c r="B115" s="46" t="n"/>
      <c r="C115" s="35" t="n"/>
      <c r="D115" s="47" t="n"/>
      <c r="E115" s="48" t="n"/>
      <c r="F115" s="37" t="n"/>
      <c r="G115" s="38" t="n"/>
      <c r="H115" s="35" t="n"/>
      <c r="I115" s="50" t="n"/>
      <c r="J115" s="35" t="n"/>
      <c r="K115" s="35" t="n"/>
    </row>
    <row r="116">
      <c r="A116" s="35" t="n"/>
      <c r="B116" s="46" t="n"/>
      <c r="C116" s="35" t="n"/>
      <c r="D116" s="47" t="n"/>
      <c r="E116" s="48" t="n"/>
      <c r="F116" s="37" t="n"/>
      <c r="G116" s="38" t="n"/>
      <c r="H116" s="35" t="n"/>
      <c r="I116" s="50" t="n"/>
      <c r="J116" s="35" t="n"/>
      <c r="K116" s="35" t="n"/>
    </row>
    <row r="117">
      <c r="A117" s="35" t="n"/>
      <c r="B117" s="46" t="n"/>
      <c r="C117" s="35" t="n"/>
      <c r="D117" s="47" t="n"/>
      <c r="E117" s="48" t="n"/>
      <c r="F117" s="37" t="n"/>
      <c r="G117" s="38" t="n"/>
      <c r="H117" s="35" t="n"/>
      <c r="I117" s="50" t="n"/>
      <c r="J117" s="35" t="n"/>
      <c r="K117" s="35" t="n"/>
    </row>
    <row r="118">
      <c r="A118" s="35" t="n"/>
      <c r="B118" s="46" t="n"/>
      <c r="C118" s="35" t="n"/>
      <c r="D118" s="47" t="n"/>
      <c r="E118" s="48" t="n"/>
      <c r="F118" s="37" t="n"/>
      <c r="G118" s="38" t="n"/>
      <c r="H118" s="35" t="n"/>
      <c r="I118" s="50" t="n"/>
      <c r="J118" s="35" t="n"/>
      <c r="K118" s="35" t="n"/>
    </row>
    <row r="119">
      <c r="A119" s="35" t="n"/>
      <c r="B119" s="46" t="n"/>
      <c r="C119" s="35" t="n"/>
      <c r="D119" s="47" t="n"/>
      <c r="E119" s="48" t="n"/>
      <c r="F119" s="37" t="n"/>
      <c r="G119" s="38" t="n"/>
      <c r="H119" s="35" t="n"/>
      <c r="I119" s="50" t="n"/>
      <c r="J119" s="35" t="n"/>
      <c r="K119" s="35" t="n"/>
    </row>
    <row r="120">
      <c r="A120" s="35" t="n"/>
      <c r="B120" s="46" t="n"/>
      <c r="C120" s="35" t="n"/>
      <c r="D120" s="47" t="n"/>
      <c r="E120" s="48" t="n"/>
      <c r="F120" s="37" t="n"/>
      <c r="G120" s="38" t="n"/>
      <c r="H120" s="35" t="n"/>
      <c r="I120" s="50" t="n"/>
      <c r="J120" s="35" t="n"/>
      <c r="K120" s="35" t="n"/>
    </row>
    <row r="121">
      <c r="A121" s="35" t="n"/>
      <c r="B121" s="46" t="n"/>
      <c r="C121" s="35" t="n"/>
      <c r="D121" s="47" t="n"/>
      <c r="E121" s="48" t="n"/>
      <c r="F121" s="37" t="n"/>
      <c r="G121" s="38" t="n"/>
      <c r="H121" s="35" t="n"/>
      <c r="I121" s="50" t="n"/>
      <c r="J121" s="35" t="n"/>
      <c r="K121" s="35" t="n"/>
    </row>
    <row r="122">
      <c r="A122" s="35" t="n"/>
      <c r="B122" s="46" t="n"/>
      <c r="C122" s="35" t="n"/>
      <c r="D122" s="47" t="n"/>
      <c r="E122" s="48" t="n"/>
      <c r="F122" s="37" t="n"/>
      <c r="G122" s="38" t="n"/>
      <c r="H122" s="35" t="n"/>
      <c r="I122" s="50" t="n"/>
      <c r="J122" s="35" t="n"/>
      <c r="K122" s="35" t="n"/>
    </row>
    <row r="123">
      <c r="A123" s="35" t="n"/>
      <c r="B123" s="46" t="n"/>
      <c r="C123" s="35" t="n"/>
      <c r="D123" s="47" t="n"/>
      <c r="E123" s="48" t="n"/>
      <c r="F123" s="37" t="n"/>
      <c r="G123" s="38" t="n"/>
      <c r="H123" s="35" t="n"/>
      <c r="I123" s="50" t="n"/>
      <c r="J123" s="35" t="n"/>
      <c r="K123" s="35" t="n"/>
    </row>
    <row r="124">
      <c r="A124" s="35" t="n"/>
      <c r="B124" s="46" t="n"/>
      <c r="C124" s="35" t="n"/>
      <c r="D124" s="47" t="n"/>
      <c r="E124" s="48" t="n"/>
      <c r="F124" s="37" t="n"/>
      <c r="G124" s="38" t="n"/>
      <c r="H124" s="35" t="n"/>
      <c r="I124" s="50" t="n"/>
      <c r="J124" s="35" t="n"/>
      <c r="K124" s="35" t="n"/>
    </row>
    <row r="125">
      <c r="A125" s="35" t="n"/>
      <c r="B125" s="46" t="n"/>
      <c r="C125" s="35" t="n"/>
      <c r="D125" s="47" t="n"/>
      <c r="E125" s="48" t="n"/>
      <c r="F125" s="37" t="n"/>
      <c r="G125" s="38" t="n"/>
      <c r="H125" s="35" t="n"/>
      <c r="I125" s="50" t="n"/>
      <c r="J125" s="35" t="n"/>
      <c r="K125" s="35" t="n"/>
    </row>
    <row r="126">
      <c r="A126" s="35" t="n"/>
      <c r="B126" s="46" t="n"/>
      <c r="C126" s="35" t="n"/>
      <c r="D126" s="47" t="n"/>
      <c r="E126" s="48" t="n"/>
      <c r="F126" s="37" t="n"/>
      <c r="G126" s="38" t="n"/>
      <c r="H126" s="35" t="n"/>
      <c r="I126" s="50" t="n"/>
      <c r="J126" s="35" t="n"/>
      <c r="K126" s="35" t="n"/>
    </row>
    <row r="127">
      <c r="A127" s="35" t="n"/>
      <c r="B127" s="46" t="n"/>
      <c r="C127" s="35" t="n"/>
      <c r="D127" s="47" t="n"/>
      <c r="E127" s="48" t="n"/>
      <c r="F127" s="37" t="n"/>
      <c r="G127" s="38" t="n"/>
      <c r="H127" s="35" t="n"/>
      <c r="I127" s="50" t="n"/>
      <c r="J127" s="35" t="n"/>
      <c r="K127" s="35" t="n"/>
    </row>
    <row r="128">
      <c r="A128" s="35" t="n"/>
      <c r="B128" s="46" t="n"/>
      <c r="C128" s="35" t="n"/>
      <c r="D128" s="47" t="n"/>
      <c r="E128" s="48" t="n"/>
      <c r="F128" s="37" t="n"/>
      <c r="G128" s="38" t="n"/>
      <c r="H128" s="35" t="n"/>
      <c r="I128" s="50" t="n"/>
      <c r="J128" s="35" t="n"/>
      <c r="K128" s="35" t="n"/>
    </row>
    <row r="129">
      <c r="A129" s="35" t="n"/>
      <c r="B129" s="46" t="n"/>
      <c r="C129" s="35" t="n"/>
      <c r="D129" s="47" t="n"/>
      <c r="E129" s="48" t="n"/>
      <c r="F129" s="37" t="n"/>
      <c r="G129" s="38" t="n"/>
      <c r="H129" s="35" t="n"/>
      <c r="I129" s="50" t="n"/>
      <c r="J129" s="35" t="n"/>
      <c r="K129" s="35" t="n"/>
    </row>
    <row r="130">
      <c r="A130" s="35" t="n"/>
      <c r="B130" s="46" t="n"/>
      <c r="C130" s="35" t="n"/>
      <c r="D130" s="47" t="n"/>
      <c r="E130" s="48" t="n"/>
      <c r="F130" s="37" t="n"/>
      <c r="G130" s="38" t="n"/>
      <c r="H130" s="35" t="n"/>
      <c r="I130" s="50" t="n"/>
      <c r="J130" s="35" t="n"/>
      <c r="K130" s="35" t="n"/>
    </row>
    <row r="131">
      <c r="A131" s="35" t="n"/>
      <c r="B131" s="46" t="n"/>
      <c r="C131" s="35" t="n"/>
      <c r="D131" s="47" t="n"/>
      <c r="E131" s="48" t="n"/>
      <c r="F131" s="37" t="n"/>
      <c r="G131" s="38" t="n"/>
      <c r="H131" s="35" t="n"/>
      <c r="I131" s="50" t="n"/>
      <c r="J131" s="35" t="n"/>
      <c r="K131" s="35" t="n"/>
    </row>
    <row r="132">
      <c r="A132" s="35" t="n"/>
      <c r="B132" s="46" t="n"/>
      <c r="C132" s="35" t="n"/>
      <c r="D132" s="47" t="n"/>
      <c r="E132" s="48" t="n"/>
      <c r="F132" s="37" t="n"/>
      <c r="G132" s="38" t="n"/>
      <c r="H132" s="35" t="n"/>
      <c r="I132" s="50" t="n"/>
      <c r="J132" s="35" t="n"/>
      <c r="K132" s="35" t="n"/>
    </row>
    <row r="133">
      <c r="A133" s="35" t="n"/>
      <c r="B133" s="46" t="n"/>
      <c r="C133" s="35" t="n"/>
      <c r="D133" s="47" t="n"/>
      <c r="E133" s="48" t="n"/>
      <c r="F133" s="37" t="n"/>
      <c r="G133" s="38" t="n"/>
      <c r="H133" s="35" t="n"/>
      <c r="I133" s="50" t="n"/>
      <c r="J133" s="35" t="n"/>
      <c r="K133" s="35" t="n"/>
    </row>
    <row r="134">
      <c r="A134" s="35" t="n"/>
      <c r="B134" s="46" t="n"/>
      <c r="C134" s="35" t="n"/>
      <c r="D134" s="47" t="n"/>
      <c r="E134" s="48" t="n"/>
      <c r="F134" s="37" t="n"/>
      <c r="G134" s="38" t="n"/>
      <c r="H134" s="35" t="n"/>
      <c r="I134" s="50" t="n"/>
      <c r="J134" s="35" t="n"/>
      <c r="K134" s="35" t="n"/>
    </row>
    <row r="135">
      <c r="A135" s="35" t="n"/>
      <c r="B135" s="46" t="n"/>
      <c r="C135" s="35" t="n"/>
      <c r="D135" s="47" t="n"/>
      <c r="E135" s="48" t="n"/>
      <c r="F135" s="37" t="n"/>
      <c r="G135" s="38" t="n"/>
      <c r="H135" s="35" t="n"/>
      <c r="I135" s="50" t="n"/>
      <c r="J135" s="35" t="n"/>
      <c r="K135" s="35" t="n"/>
    </row>
    <row r="136">
      <c r="A136" s="35" t="n"/>
      <c r="B136" s="46" t="n"/>
      <c r="C136" s="35" t="n"/>
      <c r="D136" s="47" t="n"/>
      <c r="E136" s="48" t="n"/>
      <c r="F136" s="37" t="n"/>
      <c r="G136" s="38" t="n"/>
      <c r="H136" s="35" t="n"/>
      <c r="I136" s="50" t="n"/>
      <c r="J136" s="35" t="n"/>
      <c r="K136" s="35" t="n"/>
    </row>
    <row r="137">
      <c r="A137" s="35" t="n"/>
      <c r="B137" s="46" t="n"/>
      <c r="C137" s="35" t="n"/>
      <c r="D137" s="47" t="n"/>
      <c r="E137" s="48" t="n"/>
      <c r="F137" s="37" t="n"/>
      <c r="G137" s="38" t="n"/>
      <c r="H137" s="35" t="n"/>
      <c r="I137" s="50" t="n"/>
      <c r="J137" s="35" t="n"/>
      <c r="K137" s="35" t="n"/>
    </row>
    <row r="138">
      <c r="A138" s="35" t="n"/>
      <c r="B138" s="46" t="n"/>
      <c r="C138" s="35" t="n"/>
      <c r="D138" s="47" t="n"/>
      <c r="E138" s="48" t="n"/>
      <c r="F138" s="37" t="n"/>
      <c r="G138" s="38" t="n"/>
      <c r="H138" s="35" t="n"/>
      <c r="I138" s="50" t="n"/>
      <c r="J138" s="35" t="n"/>
      <c r="K138" s="35" t="n"/>
    </row>
    <row r="139">
      <c r="A139" s="35" t="n"/>
      <c r="B139" s="46" t="n"/>
      <c r="C139" s="35" t="n"/>
      <c r="D139" s="47" t="n"/>
      <c r="E139" s="48" t="n"/>
      <c r="F139" s="37" t="n"/>
      <c r="G139" s="38" t="n"/>
      <c r="H139" s="35" t="n"/>
      <c r="I139" s="50" t="n"/>
      <c r="J139" s="35" t="n"/>
      <c r="K139" s="35" t="n"/>
    </row>
    <row r="140">
      <c r="A140" s="35" t="n"/>
      <c r="B140" s="46" t="n"/>
      <c r="C140" s="35" t="n"/>
      <c r="D140" s="47" t="n"/>
      <c r="E140" s="48" t="n"/>
      <c r="F140" s="37" t="n"/>
      <c r="G140" s="38" t="n"/>
      <c r="H140" s="35" t="n"/>
      <c r="I140" s="50" t="n"/>
      <c r="J140" s="35" t="n"/>
      <c r="K140" s="35" t="n"/>
    </row>
    <row r="141">
      <c r="A141" s="35" t="n"/>
      <c r="B141" s="46" t="n"/>
      <c r="C141" s="35" t="n"/>
      <c r="D141" s="47" t="n"/>
      <c r="E141" s="48" t="n"/>
      <c r="F141" s="37" t="n"/>
      <c r="G141" s="38" t="n"/>
      <c r="H141" s="35" t="n"/>
      <c r="I141" s="50" t="n"/>
      <c r="J141" s="35" t="n"/>
      <c r="K141" s="35" t="n"/>
    </row>
    <row r="142">
      <c r="A142" s="35" t="n"/>
      <c r="B142" s="46" t="n"/>
      <c r="C142" s="35" t="n"/>
      <c r="D142" s="47" t="n"/>
      <c r="E142" s="48" t="n"/>
      <c r="F142" s="37" t="n"/>
      <c r="G142" s="38" t="n"/>
      <c r="H142" s="35" t="n"/>
      <c r="I142" s="50" t="n"/>
      <c r="J142" s="35" t="n"/>
      <c r="K142" s="35" t="n"/>
    </row>
    <row r="143">
      <c r="A143" s="35" t="n"/>
      <c r="B143" s="46" t="n"/>
      <c r="C143" s="35" t="n"/>
      <c r="D143" s="47" t="n"/>
      <c r="E143" s="48" t="n"/>
      <c r="F143" s="37" t="n"/>
      <c r="G143" s="38" t="n"/>
      <c r="H143" s="35" t="n"/>
      <c r="I143" s="50" t="n"/>
      <c r="J143" s="35" t="n"/>
      <c r="K143" s="35" t="n"/>
    </row>
    <row r="144">
      <c r="A144" s="35" t="n"/>
      <c r="B144" s="46" t="n"/>
      <c r="C144" s="35" t="n"/>
      <c r="D144" s="47" t="n"/>
      <c r="E144" s="48" t="n"/>
      <c r="F144" s="37" t="n"/>
      <c r="G144" s="38" t="n"/>
      <c r="H144" s="35" t="n"/>
      <c r="I144" s="50" t="n"/>
      <c r="J144" s="35" t="n"/>
      <c r="K144" s="35" t="n"/>
    </row>
    <row r="145">
      <c r="A145" s="35" t="n"/>
      <c r="B145" s="46" t="n"/>
      <c r="C145" s="35" t="n"/>
      <c r="D145" s="47" t="n"/>
      <c r="E145" s="48" t="n"/>
      <c r="F145" s="37" t="n"/>
      <c r="G145" s="38" t="n"/>
      <c r="H145" s="35" t="n"/>
      <c r="I145" s="50" t="n"/>
      <c r="J145" s="35" t="n"/>
      <c r="K145" s="35" t="n"/>
    </row>
    <row r="146">
      <c r="A146" s="35" t="n"/>
      <c r="B146" s="46" t="n"/>
      <c r="C146" s="35" t="n"/>
      <c r="D146" s="47" t="n"/>
      <c r="E146" s="48" t="n"/>
      <c r="F146" s="37" t="n"/>
      <c r="G146" s="38" t="n"/>
      <c r="H146" s="35" t="n"/>
      <c r="I146" s="50" t="n"/>
      <c r="J146" s="35" t="n"/>
      <c r="K146" s="35" t="n"/>
    </row>
    <row r="147">
      <c r="A147" s="35" t="n"/>
      <c r="B147" s="46" t="n"/>
      <c r="C147" s="35" t="n"/>
      <c r="D147" s="47" t="n"/>
      <c r="E147" s="48" t="n"/>
      <c r="F147" s="37" t="n"/>
      <c r="G147" s="38" t="n"/>
      <c r="H147" s="35" t="n"/>
      <c r="I147" s="50" t="n"/>
      <c r="J147" s="35" t="n"/>
      <c r="K147" s="35" t="n"/>
    </row>
    <row r="148">
      <c r="A148" s="35" t="n"/>
      <c r="B148" s="46" t="n"/>
      <c r="C148" s="35" t="n"/>
      <c r="D148" s="47" t="n"/>
      <c r="E148" s="48" t="n"/>
      <c r="F148" s="37" t="n"/>
      <c r="G148" s="38" t="n"/>
      <c r="H148" s="35" t="n"/>
      <c r="I148" s="50" t="n"/>
      <c r="J148" s="35" t="n"/>
      <c r="K148" s="35" t="n"/>
    </row>
    <row r="149">
      <c r="A149" s="35" t="n"/>
      <c r="B149" s="46" t="n"/>
      <c r="C149" s="35" t="n"/>
      <c r="D149" s="47" t="n"/>
      <c r="E149" s="48" t="n"/>
      <c r="F149" s="37" t="n"/>
      <c r="G149" s="38" t="n"/>
      <c r="H149" s="35" t="n"/>
      <c r="I149" s="50" t="n"/>
      <c r="J149" s="35" t="n"/>
      <c r="K149" s="35" t="n"/>
    </row>
    <row r="150">
      <c r="A150" s="35" t="n"/>
      <c r="B150" s="46" t="n"/>
      <c r="C150" s="35" t="n"/>
      <c r="D150" s="47" t="n"/>
      <c r="E150" s="48" t="n"/>
      <c r="F150" s="37" t="n"/>
      <c r="G150" s="38" t="n"/>
      <c r="H150" s="35" t="n"/>
      <c r="I150" s="50" t="n"/>
      <c r="J150" s="35" t="n"/>
      <c r="K150" s="35" t="n"/>
    </row>
    <row r="151">
      <c r="A151" s="35" t="n"/>
      <c r="B151" s="46" t="n"/>
      <c r="C151" s="35" t="n"/>
      <c r="D151" s="47" t="n"/>
      <c r="E151" s="48" t="n"/>
      <c r="F151" s="37" t="n"/>
      <c r="G151" s="38" t="n"/>
      <c r="H151" s="35" t="n"/>
      <c r="I151" s="50" t="n"/>
      <c r="J151" s="35" t="n"/>
      <c r="K151" s="35" t="n"/>
    </row>
    <row r="152">
      <c r="A152" s="35" t="n"/>
      <c r="B152" s="46" t="n"/>
      <c r="C152" s="35" t="n"/>
      <c r="D152" s="47" t="n"/>
      <c r="E152" s="48" t="n"/>
      <c r="F152" s="37" t="n"/>
      <c r="G152" s="38" t="n"/>
      <c r="H152" s="35" t="n"/>
      <c r="I152" s="50" t="n"/>
      <c r="J152" s="35" t="n"/>
      <c r="K152" s="35" t="n"/>
    </row>
    <row r="153">
      <c r="A153" s="35" t="n"/>
      <c r="B153" s="46" t="n"/>
      <c r="C153" s="35" t="n"/>
      <c r="D153" s="47" t="n"/>
      <c r="E153" s="48" t="n"/>
      <c r="F153" s="37" t="n"/>
      <c r="G153" s="38" t="n"/>
      <c r="H153" s="35" t="n"/>
      <c r="I153" s="50" t="n"/>
      <c r="J153" s="35" t="n"/>
      <c r="K153" s="35" t="n"/>
    </row>
    <row r="154">
      <c r="A154" s="35" t="n"/>
      <c r="B154" s="46" t="n"/>
      <c r="C154" s="35" t="n"/>
      <c r="D154" s="47" t="n"/>
      <c r="E154" s="48" t="n"/>
      <c r="F154" s="37" t="n"/>
      <c r="G154" s="38" t="n"/>
      <c r="H154" s="35" t="n"/>
      <c r="I154" s="50" t="n"/>
      <c r="J154" s="35" t="n"/>
      <c r="K154" s="35" t="n"/>
    </row>
    <row r="155">
      <c r="A155" s="35" t="n"/>
      <c r="B155" s="46" t="n"/>
      <c r="C155" s="35" t="n"/>
      <c r="D155" s="47" t="n"/>
      <c r="E155" s="48" t="n"/>
      <c r="F155" s="37" t="n"/>
      <c r="G155" s="38" t="n"/>
      <c r="H155" s="35" t="n"/>
      <c r="I155" s="50" t="n"/>
      <c r="J155" s="35" t="n"/>
      <c r="K155" s="35" t="n"/>
    </row>
    <row r="156">
      <c r="A156" s="35" t="n"/>
      <c r="B156" s="46" t="n"/>
      <c r="C156" s="35" t="n"/>
      <c r="D156" s="47" t="n"/>
      <c r="E156" s="48" t="n"/>
      <c r="F156" s="37" t="n"/>
      <c r="G156" s="38" t="n"/>
      <c r="H156" s="35" t="n"/>
      <c r="I156" s="50" t="n"/>
      <c r="J156" s="35" t="n"/>
      <c r="K156" s="35" t="n"/>
    </row>
    <row r="157">
      <c r="A157" s="35" t="n"/>
      <c r="B157" s="46" t="n"/>
      <c r="C157" s="35" t="n"/>
      <c r="D157" s="47" t="n"/>
      <c r="E157" s="48" t="n"/>
      <c r="F157" s="37" t="n"/>
      <c r="G157" s="38" t="n"/>
      <c r="H157" s="35" t="n"/>
      <c r="I157" s="50" t="n"/>
      <c r="J157" s="35" t="n"/>
      <c r="K157" s="35" t="n"/>
    </row>
    <row r="158">
      <c r="A158" s="35" t="n"/>
      <c r="B158" s="46" t="n"/>
      <c r="C158" s="35" t="n"/>
      <c r="D158" s="47" t="n"/>
      <c r="E158" s="48" t="n"/>
      <c r="F158" s="37" t="n"/>
      <c r="G158" s="38" t="n"/>
      <c r="H158" s="35" t="n"/>
      <c r="I158" s="50" t="n"/>
      <c r="J158" s="35" t="n"/>
      <c r="K158" s="35" t="n"/>
    </row>
    <row r="159">
      <c r="A159" s="35" t="n"/>
      <c r="B159" s="46" t="n"/>
      <c r="C159" s="35" t="n"/>
      <c r="D159" s="47" t="n"/>
      <c r="E159" s="48" t="n"/>
      <c r="F159" s="37" t="n"/>
      <c r="G159" s="38" t="n"/>
      <c r="H159" s="35" t="n"/>
      <c r="I159" s="50" t="n"/>
      <c r="J159" s="35" t="n"/>
      <c r="K159" s="35" t="n"/>
    </row>
    <row r="160">
      <c r="A160" s="35" t="n"/>
      <c r="B160" s="46" t="n"/>
      <c r="C160" s="35" t="n"/>
      <c r="D160" s="47" t="n"/>
      <c r="E160" s="48" t="n"/>
      <c r="F160" s="37" t="n"/>
      <c r="G160" s="38" t="n"/>
      <c r="H160" s="35" t="n"/>
      <c r="I160" s="50" t="n"/>
      <c r="J160" s="35" t="n"/>
      <c r="K160" s="35" t="n"/>
    </row>
    <row r="161">
      <c r="A161" s="35" t="n"/>
      <c r="B161" s="46" t="n"/>
      <c r="C161" s="35" t="n"/>
      <c r="D161" s="47" t="n"/>
      <c r="E161" s="48" t="n"/>
      <c r="F161" s="37" t="n"/>
      <c r="G161" s="38" t="n"/>
      <c r="H161" s="35" t="n"/>
      <c r="I161" s="50" t="n"/>
      <c r="J161" s="35" t="n"/>
      <c r="K161" s="35" t="n"/>
    </row>
    <row r="162">
      <c r="A162" s="35" t="n"/>
      <c r="B162" s="46" t="n"/>
      <c r="C162" s="35" t="n"/>
      <c r="D162" s="47" t="n"/>
      <c r="E162" s="48" t="n"/>
      <c r="F162" s="37" t="n"/>
      <c r="G162" s="38" t="n"/>
      <c r="H162" s="35" t="n"/>
      <c r="I162" s="50" t="n"/>
      <c r="J162" s="35" t="n"/>
      <c r="K162" s="35" t="n"/>
    </row>
    <row r="163">
      <c r="A163" s="35" t="n"/>
      <c r="B163" s="46" t="n"/>
      <c r="C163" s="35" t="n"/>
      <c r="D163" s="47" t="n"/>
      <c r="E163" s="48" t="n"/>
      <c r="F163" s="37" t="n"/>
      <c r="G163" s="38" t="n"/>
      <c r="H163" s="35" t="n"/>
      <c r="I163" s="50" t="n"/>
      <c r="J163" s="35" t="n"/>
      <c r="K163" s="35" t="n"/>
    </row>
    <row r="164">
      <c r="A164" s="35" t="n"/>
      <c r="B164" s="46" t="n"/>
      <c r="C164" s="35" t="n"/>
      <c r="D164" s="47" t="n"/>
      <c r="E164" s="48" t="n"/>
      <c r="F164" s="37" t="n"/>
      <c r="G164" s="38" t="n"/>
      <c r="H164" s="35" t="n"/>
      <c r="I164" s="50" t="n"/>
      <c r="J164" s="35" t="n"/>
      <c r="K164" s="35" t="n"/>
    </row>
    <row r="165">
      <c r="A165" s="35" t="n"/>
      <c r="B165" s="46" t="n"/>
      <c r="C165" s="35" t="n"/>
      <c r="D165" s="47" t="n"/>
      <c r="E165" s="48" t="n"/>
      <c r="F165" s="37" t="n"/>
      <c r="G165" s="38" t="n"/>
      <c r="H165" s="35" t="n"/>
      <c r="I165" s="50" t="n"/>
      <c r="J165" s="35" t="n"/>
      <c r="K165" s="35" t="n"/>
    </row>
    <row r="166">
      <c r="A166" s="35" t="n"/>
      <c r="B166" s="46" t="n"/>
      <c r="C166" s="35" t="n"/>
      <c r="D166" s="47" t="n"/>
      <c r="E166" s="48" t="n"/>
      <c r="F166" s="37" t="n"/>
      <c r="G166" s="38" t="n"/>
      <c r="H166" s="35" t="n"/>
      <c r="I166" s="50" t="n"/>
      <c r="J166" s="35" t="n"/>
      <c r="K166" s="35" t="n"/>
    </row>
    <row r="167">
      <c r="A167" s="35" t="n"/>
      <c r="B167" s="46" t="n"/>
      <c r="C167" s="35" t="n"/>
      <c r="D167" s="47" t="n"/>
      <c r="E167" s="48" t="n"/>
      <c r="F167" s="37" t="n"/>
      <c r="G167" s="38" t="n"/>
      <c r="H167" s="35" t="n"/>
      <c r="I167" s="50" t="n"/>
      <c r="J167" s="35" t="n"/>
      <c r="K167" s="35" t="n"/>
    </row>
    <row r="168">
      <c r="A168" s="35" t="n"/>
      <c r="B168" s="46" t="n"/>
      <c r="C168" s="35" t="n"/>
      <c r="D168" s="47" t="n"/>
      <c r="E168" s="48" t="n"/>
      <c r="F168" s="37" t="n"/>
      <c r="G168" s="38" t="n"/>
      <c r="H168" s="35" t="n"/>
      <c r="I168" s="50" t="n"/>
      <c r="J168" s="35" t="n"/>
      <c r="K168" s="35" t="n"/>
    </row>
    <row r="169">
      <c r="A169" s="35" t="n"/>
      <c r="B169" s="46" t="n"/>
      <c r="C169" s="35" t="n"/>
      <c r="D169" s="47" t="n"/>
      <c r="E169" s="48" t="n"/>
      <c r="F169" s="37" t="n"/>
      <c r="G169" s="38" t="n"/>
      <c r="H169" s="35" t="n"/>
      <c r="I169" s="50" t="n"/>
      <c r="J169" s="35" t="n"/>
      <c r="K169" s="35" t="n"/>
    </row>
    <row r="170">
      <c r="A170" s="35" t="n"/>
      <c r="B170" s="46" t="n"/>
      <c r="C170" s="35" t="n"/>
      <c r="D170" s="47" t="n"/>
      <c r="E170" s="48" t="n"/>
      <c r="F170" s="37" t="n"/>
      <c r="G170" s="38" t="n"/>
      <c r="H170" s="35" t="n"/>
      <c r="I170" s="50" t="n"/>
      <c r="J170" s="35" t="n"/>
      <c r="K170" s="35" t="n"/>
    </row>
    <row r="171">
      <c r="A171" s="35" t="n"/>
      <c r="B171" s="46" t="n"/>
      <c r="C171" s="35" t="n"/>
      <c r="D171" s="47" t="n"/>
      <c r="E171" s="48" t="n"/>
      <c r="F171" s="37" t="n"/>
      <c r="G171" s="38" t="n"/>
      <c r="H171" s="35" t="n"/>
      <c r="I171" s="50" t="n"/>
      <c r="J171" s="35" t="n"/>
      <c r="K171" s="35" t="n"/>
    </row>
    <row r="172">
      <c r="A172" s="35" t="n"/>
      <c r="B172" s="46" t="n"/>
      <c r="C172" s="35" t="n"/>
      <c r="D172" s="47" t="n"/>
      <c r="E172" s="48" t="n"/>
      <c r="F172" s="37" t="n"/>
      <c r="G172" s="38" t="n"/>
      <c r="H172" s="35" t="n"/>
      <c r="I172" s="50" t="n"/>
      <c r="J172" s="35" t="n"/>
      <c r="K172" s="35" t="n"/>
    </row>
    <row r="173">
      <c r="A173" s="35" t="n"/>
      <c r="B173" s="46" t="n"/>
      <c r="C173" s="35" t="n"/>
      <c r="D173" s="47" t="n"/>
      <c r="E173" s="48" t="n"/>
      <c r="F173" s="37" t="n"/>
      <c r="G173" s="38" t="n"/>
      <c r="H173" s="35" t="n"/>
      <c r="I173" s="50" t="n"/>
      <c r="J173" s="35" t="n"/>
      <c r="K173" s="35" t="n"/>
    </row>
    <row r="174">
      <c r="A174" s="35" t="n"/>
      <c r="B174" s="46" t="n"/>
      <c r="C174" s="35" t="n"/>
      <c r="D174" s="47" t="n"/>
      <c r="E174" s="48" t="n"/>
      <c r="F174" s="37" t="n"/>
      <c r="G174" s="38" t="n"/>
      <c r="H174" s="35" t="n"/>
      <c r="I174" s="50" t="n"/>
      <c r="J174" s="35" t="n"/>
      <c r="K174" s="35" t="n"/>
    </row>
    <row r="175">
      <c r="A175" s="35" t="n"/>
      <c r="B175" s="46" t="n"/>
      <c r="C175" s="35" t="n"/>
      <c r="D175" s="47" t="n"/>
      <c r="E175" s="48" t="n"/>
      <c r="F175" s="37" t="n"/>
      <c r="G175" s="38" t="n"/>
      <c r="H175" s="35" t="n"/>
      <c r="I175" s="50" t="n"/>
      <c r="J175" s="35" t="n"/>
      <c r="K175" s="35" t="n"/>
    </row>
    <row r="176">
      <c r="A176" s="35" t="n"/>
      <c r="B176" s="46" t="n"/>
      <c r="C176" s="35" t="n"/>
      <c r="D176" s="47" t="n"/>
      <c r="E176" s="48" t="n"/>
      <c r="F176" s="37" t="n"/>
      <c r="G176" s="38" t="n"/>
      <c r="H176" s="35" t="n"/>
      <c r="I176" s="50" t="n"/>
      <c r="J176" s="35" t="n"/>
      <c r="K176" s="35" t="n"/>
    </row>
    <row r="177">
      <c r="A177" s="35" t="n"/>
      <c r="B177" s="46" t="n"/>
      <c r="C177" s="35" t="n"/>
      <c r="D177" s="47" t="n"/>
      <c r="E177" s="48" t="n"/>
      <c r="F177" s="37" t="n"/>
      <c r="G177" s="38" t="n"/>
      <c r="H177" s="35" t="n"/>
      <c r="I177" s="50" t="n"/>
      <c r="J177" s="35" t="n"/>
      <c r="K177" s="35" t="n"/>
    </row>
    <row r="178">
      <c r="A178" s="35" t="n"/>
      <c r="B178" s="46" t="n"/>
      <c r="C178" s="35" t="n"/>
      <c r="D178" s="47" t="n"/>
      <c r="E178" s="48" t="n"/>
      <c r="F178" s="37" t="n"/>
      <c r="G178" s="38" t="n"/>
      <c r="H178" s="35" t="n"/>
      <c r="I178" s="50" t="n"/>
      <c r="J178" s="35" t="n"/>
      <c r="K178" s="35" t="n"/>
    </row>
    <row r="179">
      <c r="A179" s="35" t="n"/>
      <c r="B179" s="46" t="n"/>
      <c r="C179" s="35" t="n"/>
      <c r="D179" s="47" t="n"/>
      <c r="E179" s="48" t="n"/>
      <c r="F179" s="37" t="n"/>
      <c r="G179" s="38" t="n"/>
      <c r="H179" s="35" t="n"/>
      <c r="I179" s="50" t="n"/>
      <c r="J179" s="35" t="n"/>
      <c r="K179" s="35" t="n"/>
    </row>
    <row r="180">
      <c r="A180" s="35" t="n"/>
      <c r="B180" s="46" t="n"/>
      <c r="C180" s="35" t="n"/>
      <c r="D180" s="47" t="n"/>
      <c r="E180" s="48" t="n"/>
      <c r="F180" s="37" t="n"/>
      <c r="G180" s="38" t="n"/>
      <c r="H180" s="35" t="n"/>
      <c r="I180" s="50" t="n"/>
      <c r="J180" s="35" t="n"/>
      <c r="K180" s="35" t="n"/>
    </row>
    <row r="181">
      <c r="A181" s="35" t="n"/>
      <c r="B181" s="46" t="n"/>
      <c r="C181" s="35" t="n"/>
      <c r="D181" s="47" t="n"/>
      <c r="E181" s="48" t="n"/>
      <c r="F181" s="37" t="n"/>
      <c r="G181" s="38" t="n"/>
      <c r="H181" s="35" t="n"/>
      <c r="I181" s="50" t="n"/>
      <c r="J181" s="35" t="n"/>
      <c r="K181" s="35" t="n"/>
    </row>
    <row r="182">
      <c r="A182" s="35" t="n"/>
      <c r="B182" s="46" t="n"/>
      <c r="C182" s="35" t="n"/>
      <c r="D182" s="47" t="n"/>
      <c r="E182" s="48" t="n"/>
      <c r="F182" s="37" t="n"/>
      <c r="G182" s="38" t="n"/>
      <c r="H182" s="35" t="n"/>
      <c r="I182" s="50" t="n"/>
      <c r="J182" s="35" t="n"/>
      <c r="K182" s="35" t="n"/>
    </row>
    <row r="183">
      <c r="A183" s="35" t="n"/>
      <c r="B183" s="46" t="n"/>
      <c r="C183" s="35" t="n"/>
      <c r="D183" s="47" t="n"/>
      <c r="E183" s="48" t="n"/>
      <c r="F183" s="37" t="n"/>
      <c r="G183" s="38" t="n"/>
      <c r="H183" s="35" t="n"/>
      <c r="I183" s="50" t="n"/>
      <c r="J183" s="35" t="n"/>
      <c r="K183" s="35" t="n"/>
    </row>
    <row r="184">
      <c r="A184" s="35" t="n"/>
      <c r="B184" s="46" t="n"/>
      <c r="C184" s="35" t="n"/>
      <c r="D184" s="47" t="n"/>
      <c r="E184" s="48" t="n"/>
      <c r="F184" s="37" t="n"/>
      <c r="G184" s="38" t="n"/>
      <c r="H184" s="35" t="n"/>
      <c r="I184" s="50" t="n"/>
      <c r="J184" s="35" t="n"/>
      <c r="K184" s="35" t="n"/>
    </row>
    <row r="185">
      <c r="A185" s="35" t="n"/>
      <c r="B185" s="46" t="n"/>
      <c r="C185" s="35" t="n"/>
      <c r="D185" s="47" t="n"/>
      <c r="E185" s="48" t="n"/>
      <c r="F185" s="37" t="n"/>
      <c r="G185" s="38" t="n"/>
      <c r="H185" s="35" t="n"/>
      <c r="I185" s="50" t="n"/>
      <c r="J185" s="35" t="n"/>
      <c r="K185" s="35" t="n"/>
    </row>
    <row r="186">
      <c r="A186" s="35" t="n"/>
      <c r="B186" s="46" t="n"/>
      <c r="C186" s="35" t="n"/>
      <c r="D186" s="47" t="n"/>
      <c r="E186" s="48" t="n"/>
      <c r="F186" s="37" t="n"/>
      <c r="G186" s="38" t="n"/>
      <c r="H186" s="35" t="n"/>
      <c r="I186" s="50" t="n"/>
      <c r="J186" s="35" t="n"/>
      <c r="K186" s="35" t="n"/>
    </row>
    <row r="187">
      <c r="A187" s="35" t="n"/>
      <c r="B187" s="46" t="n"/>
      <c r="C187" s="35" t="n"/>
      <c r="D187" s="47" t="n"/>
      <c r="E187" s="48" t="n"/>
      <c r="F187" s="37" t="n"/>
      <c r="G187" s="38" t="n"/>
      <c r="H187" s="35" t="n"/>
      <c r="I187" s="50" t="n"/>
      <c r="J187" s="35" t="n"/>
      <c r="K187" s="35" t="n"/>
    </row>
    <row r="188">
      <c r="A188" s="35" t="n"/>
      <c r="B188" s="46" t="n"/>
      <c r="C188" s="35" t="n"/>
      <c r="D188" s="47" t="n"/>
      <c r="E188" s="48" t="n"/>
      <c r="F188" s="37" t="n"/>
      <c r="G188" s="38" t="n"/>
      <c r="H188" s="35" t="n"/>
      <c r="I188" s="50" t="n"/>
      <c r="J188" s="35" t="n"/>
      <c r="K188" s="35" t="n"/>
    </row>
    <row r="189">
      <c r="A189" s="35" t="n"/>
      <c r="B189" s="46" t="n"/>
      <c r="C189" s="35" t="n"/>
      <c r="D189" s="47" t="n"/>
      <c r="E189" s="48" t="n"/>
      <c r="F189" s="37" t="n"/>
      <c r="G189" s="38" t="n"/>
      <c r="H189" s="35" t="n"/>
      <c r="I189" s="50" t="n"/>
      <c r="J189" s="35" t="n"/>
      <c r="K189" s="35" t="n"/>
    </row>
    <row r="190">
      <c r="A190" s="35" t="n"/>
      <c r="B190" s="46" t="n"/>
      <c r="C190" s="35" t="n"/>
      <c r="D190" s="47" t="n"/>
      <c r="E190" s="48" t="n"/>
      <c r="F190" s="37" t="n"/>
      <c r="G190" s="38" t="n"/>
      <c r="H190" s="35" t="n"/>
      <c r="I190" s="50" t="n"/>
      <c r="J190" s="35" t="n"/>
      <c r="K190" s="35" t="n"/>
    </row>
    <row r="191">
      <c r="A191" s="35" t="n"/>
      <c r="B191" s="46" t="n"/>
      <c r="C191" s="35" t="n"/>
      <c r="D191" s="47" t="n"/>
      <c r="E191" s="48" t="n"/>
      <c r="F191" s="37" t="n"/>
      <c r="G191" s="38" t="n"/>
      <c r="H191" s="35" t="n"/>
      <c r="I191" s="50" t="n"/>
      <c r="J191" s="35" t="n"/>
      <c r="K191" s="35" t="n"/>
    </row>
    <row r="192">
      <c r="A192" s="35" t="n"/>
      <c r="B192" s="46" t="n"/>
      <c r="C192" s="35" t="n"/>
      <c r="D192" s="47" t="n"/>
      <c r="E192" s="48" t="n"/>
      <c r="F192" s="37" t="n"/>
      <c r="G192" s="38" t="n"/>
      <c r="H192" s="35" t="n"/>
      <c r="I192" s="50" t="n"/>
      <c r="J192" s="35" t="n"/>
      <c r="K192" s="35" t="n"/>
    </row>
    <row r="193">
      <c r="A193" s="35" t="n"/>
      <c r="B193" s="46" t="n"/>
      <c r="C193" s="35" t="n"/>
      <c r="D193" s="47" t="n"/>
      <c r="E193" s="48" t="n"/>
      <c r="F193" s="37" t="n"/>
      <c r="G193" s="38" t="n"/>
      <c r="H193" s="35" t="n"/>
      <c r="I193" s="50" t="n"/>
      <c r="J193" s="35" t="n"/>
      <c r="K193" s="35" t="n"/>
    </row>
    <row r="194">
      <c r="A194" s="35" t="n"/>
      <c r="B194" s="46" t="n"/>
      <c r="C194" s="35" t="n"/>
      <c r="D194" s="47" t="n"/>
      <c r="E194" s="48" t="n"/>
      <c r="F194" s="37" t="n"/>
      <c r="G194" s="38" t="n"/>
      <c r="H194" s="35" t="n"/>
      <c r="I194" s="50" t="n"/>
      <c r="J194" s="35" t="n"/>
      <c r="K194" s="35" t="n"/>
    </row>
    <row r="195">
      <c r="A195" s="35" t="n"/>
      <c r="B195" s="46" t="n"/>
      <c r="C195" s="35" t="n"/>
      <c r="D195" s="47" t="n"/>
      <c r="E195" s="48" t="n"/>
      <c r="F195" s="37" t="n"/>
      <c r="G195" s="38" t="n"/>
      <c r="H195" s="35" t="n"/>
      <c r="I195" s="50" t="n"/>
      <c r="J195" s="35" t="n"/>
      <c r="K195" s="35" t="n"/>
    </row>
    <row r="196">
      <c r="A196" s="35" t="n"/>
      <c r="B196" s="46" t="n"/>
      <c r="C196" s="35" t="n"/>
      <c r="D196" s="47" t="n"/>
      <c r="E196" s="48" t="n"/>
      <c r="F196" s="37" t="n"/>
      <c r="G196" s="38" t="n"/>
      <c r="H196" s="35" t="n"/>
      <c r="I196" s="50" t="n"/>
      <c r="J196" s="35" t="n"/>
      <c r="K196" s="35" t="n"/>
    </row>
    <row r="197">
      <c r="A197" s="35" t="n"/>
      <c r="B197" s="46" t="n"/>
      <c r="C197" s="35" t="n"/>
      <c r="D197" s="47" t="n"/>
      <c r="E197" s="48" t="n"/>
      <c r="F197" s="37" t="n"/>
      <c r="G197" s="38" t="n"/>
      <c r="H197" s="35" t="n"/>
      <c r="I197" s="50" t="n"/>
      <c r="J197" s="35" t="n"/>
      <c r="K197" s="35" t="n"/>
    </row>
    <row r="198">
      <c r="A198" s="35" t="n"/>
      <c r="B198" s="46" t="n"/>
      <c r="C198" s="35" t="n"/>
      <c r="D198" s="47" t="n"/>
      <c r="E198" s="48" t="n"/>
      <c r="F198" s="37" t="n"/>
      <c r="G198" s="38" t="n"/>
      <c r="H198" s="35" t="n"/>
      <c r="I198" s="50" t="n"/>
      <c r="J198" s="35" t="n"/>
      <c r="K198" s="35" t="n"/>
    </row>
    <row r="199">
      <c r="A199" s="35" t="n"/>
      <c r="B199" s="46" t="n"/>
      <c r="C199" s="35" t="n"/>
      <c r="D199" s="47" t="n"/>
      <c r="E199" s="48" t="n"/>
      <c r="F199" s="37" t="n"/>
      <c r="G199" s="38" t="n"/>
      <c r="H199" s="35" t="n"/>
      <c r="I199" s="50" t="n"/>
      <c r="J199" s="35" t="n"/>
      <c r="K199" s="35" t="n"/>
    </row>
    <row r="200">
      <c r="A200" s="35" t="n"/>
      <c r="B200" s="46" t="n"/>
      <c r="C200" s="35" t="n"/>
      <c r="D200" s="47" t="n"/>
      <c r="E200" s="48" t="n"/>
      <c r="F200" s="37" t="n"/>
      <c r="G200" s="38" t="n"/>
      <c r="H200" s="35" t="n"/>
      <c r="I200" s="50" t="n"/>
      <c r="J200" s="35" t="n"/>
      <c r="K200" s="35" t="n"/>
    </row>
    <row r="201">
      <c r="A201" s="35" t="n"/>
      <c r="B201" s="46" t="n"/>
      <c r="C201" s="35" t="n"/>
      <c r="D201" s="47" t="n"/>
      <c r="E201" s="48" t="n"/>
      <c r="F201" s="37" t="n"/>
      <c r="G201" s="38" t="n"/>
      <c r="H201" s="35" t="n"/>
      <c r="I201" s="50" t="n"/>
      <c r="J201" s="35" t="n"/>
      <c r="K201" s="35" t="n"/>
    </row>
    <row r="202">
      <c r="A202" s="35" t="n"/>
      <c r="B202" s="46" t="n"/>
      <c r="C202" s="35" t="n"/>
      <c r="D202" s="47" t="n"/>
      <c r="E202" s="48" t="n"/>
      <c r="F202" s="37" t="n"/>
      <c r="G202" s="38" t="n"/>
      <c r="H202" s="35" t="n"/>
      <c r="I202" s="50" t="n"/>
      <c r="J202" s="35" t="n"/>
      <c r="K202" s="35" t="n"/>
    </row>
    <row r="203">
      <c r="A203" s="35" t="n"/>
      <c r="B203" s="46" t="n"/>
      <c r="C203" s="35" t="n"/>
      <c r="D203" s="47" t="n"/>
      <c r="E203" s="48" t="n"/>
      <c r="F203" s="37" t="n"/>
      <c r="G203" s="38" t="n"/>
      <c r="H203" s="35" t="n"/>
      <c r="I203" s="50" t="n"/>
      <c r="J203" s="35" t="n"/>
      <c r="K203" s="35" t="n"/>
    </row>
    <row r="204">
      <c r="A204" s="35" t="n"/>
      <c r="B204" s="46" t="n"/>
      <c r="C204" s="35" t="n"/>
      <c r="D204" s="47" t="n"/>
      <c r="E204" s="48" t="n"/>
      <c r="F204" s="37" t="n"/>
      <c r="G204" s="38" t="n"/>
      <c r="H204" s="35" t="n"/>
      <c r="I204" s="50" t="n"/>
      <c r="J204" s="35" t="n"/>
      <c r="K204" s="35" t="n"/>
    </row>
    <row r="205">
      <c r="A205" s="35" t="n"/>
      <c r="B205" s="46" t="n"/>
      <c r="C205" s="35" t="n"/>
      <c r="D205" s="47" t="n"/>
      <c r="E205" s="48" t="n"/>
      <c r="F205" s="37" t="n"/>
      <c r="G205" s="38" t="n"/>
      <c r="H205" s="35" t="n"/>
      <c r="I205" s="50" t="n"/>
      <c r="J205" s="35" t="n"/>
      <c r="K205" s="35" t="n"/>
    </row>
    <row r="206">
      <c r="A206" s="35" t="n"/>
      <c r="B206" s="46" t="n"/>
      <c r="C206" s="35" t="n"/>
      <c r="D206" s="47" t="n"/>
      <c r="E206" s="48" t="n"/>
      <c r="F206" s="37" t="n"/>
      <c r="G206" s="38" t="n"/>
      <c r="H206" s="35" t="n"/>
      <c r="I206" s="50" t="n"/>
      <c r="J206" s="35" t="n"/>
      <c r="K206" s="35" t="n"/>
    </row>
    <row r="207">
      <c r="A207" s="35" t="n"/>
      <c r="B207" s="46" t="n"/>
      <c r="C207" s="35" t="n"/>
      <c r="D207" s="47" t="n"/>
      <c r="E207" s="48" t="n"/>
      <c r="F207" s="37" t="n"/>
      <c r="G207" s="38" t="n"/>
      <c r="H207" s="35" t="n"/>
      <c r="I207" s="50" t="n"/>
      <c r="J207" s="35" t="n"/>
      <c r="K207" s="35" t="n"/>
    </row>
    <row r="208">
      <c r="A208" s="35" t="n"/>
      <c r="B208" s="46" t="n"/>
      <c r="C208" s="35" t="n"/>
      <c r="D208" s="47" t="n"/>
      <c r="E208" s="48" t="n"/>
      <c r="F208" s="37" t="n"/>
      <c r="G208" s="38" t="n"/>
      <c r="H208" s="35" t="n"/>
      <c r="I208" s="50" t="n"/>
      <c r="J208" s="35" t="n"/>
      <c r="K208" s="35" t="n"/>
    </row>
    <row r="209">
      <c r="A209" s="35" t="n"/>
      <c r="B209" s="46" t="n"/>
      <c r="C209" s="35" t="n"/>
      <c r="D209" s="47" t="n"/>
      <c r="E209" s="48" t="n"/>
      <c r="F209" s="37" t="n"/>
      <c r="G209" s="38" t="n"/>
      <c r="H209" s="35" t="n"/>
      <c r="I209" s="50" t="n"/>
      <c r="J209" s="35" t="n"/>
      <c r="K209" s="35" t="n"/>
    </row>
    <row r="210">
      <c r="A210" s="35" t="n"/>
      <c r="B210" s="46" t="n"/>
      <c r="C210" s="35" t="n"/>
      <c r="D210" s="47" t="n"/>
      <c r="E210" s="48" t="n"/>
      <c r="F210" s="37" t="n"/>
      <c r="G210" s="38" t="n"/>
      <c r="H210" s="35" t="n"/>
      <c r="I210" s="50" t="n"/>
      <c r="J210" s="35" t="n"/>
      <c r="K210" s="35" t="n"/>
    </row>
    <row r="211">
      <c r="A211" s="35" t="n"/>
      <c r="B211" s="46" t="n"/>
      <c r="C211" s="35" t="n"/>
      <c r="D211" s="47" t="n"/>
      <c r="E211" s="48" t="n"/>
      <c r="F211" s="37" t="n"/>
      <c r="G211" s="38" t="n"/>
      <c r="H211" s="35" t="n"/>
      <c r="I211" s="50" t="n"/>
      <c r="J211" s="35" t="n"/>
      <c r="K211" s="35" t="n"/>
    </row>
    <row r="212">
      <c r="A212" s="35" t="n"/>
      <c r="B212" s="46" t="n"/>
      <c r="C212" s="35" t="n"/>
      <c r="D212" s="47" t="n"/>
      <c r="E212" s="48" t="n"/>
      <c r="F212" s="37" t="n"/>
      <c r="G212" s="38" t="n"/>
      <c r="H212" s="35" t="n"/>
      <c r="I212" s="50" t="n"/>
      <c r="J212" s="35" t="n"/>
      <c r="K212" s="35" t="n"/>
    </row>
    <row r="213">
      <c r="A213" s="35" t="n"/>
      <c r="B213" s="46" t="n"/>
      <c r="C213" s="35" t="n"/>
      <c r="D213" s="47" t="n"/>
      <c r="E213" s="48" t="n"/>
      <c r="F213" s="37" t="n"/>
      <c r="G213" s="38" t="n"/>
      <c r="H213" s="35" t="n"/>
      <c r="I213" s="50" t="n"/>
      <c r="J213" s="35" t="n"/>
      <c r="K213" s="35" t="n"/>
    </row>
    <row r="214">
      <c r="A214" s="35" t="n"/>
      <c r="B214" s="46" t="n"/>
      <c r="C214" s="35" t="n"/>
      <c r="D214" s="47" t="n"/>
      <c r="E214" s="48" t="n"/>
      <c r="F214" s="37" t="n"/>
      <c r="G214" s="38" t="n"/>
      <c r="H214" s="35" t="n"/>
      <c r="I214" s="50" t="n"/>
      <c r="J214" s="35" t="n"/>
      <c r="K214" s="35" t="n"/>
    </row>
    <row r="215">
      <c r="A215" s="35" t="n"/>
      <c r="B215" s="46" t="n"/>
      <c r="C215" s="35" t="n"/>
      <c r="D215" s="47" t="n"/>
      <c r="E215" s="48" t="n"/>
      <c r="F215" s="37" t="n"/>
      <c r="G215" s="38" t="n"/>
      <c r="H215" s="35" t="n"/>
      <c r="I215" s="50" t="n"/>
      <c r="J215" s="35" t="n"/>
      <c r="K215" s="35" t="n"/>
    </row>
    <row r="216">
      <c r="A216" s="35" t="n"/>
      <c r="B216" s="46" t="n"/>
      <c r="C216" s="35" t="n"/>
      <c r="D216" s="47" t="n"/>
      <c r="E216" s="48" t="n"/>
      <c r="F216" s="37" t="n"/>
      <c r="G216" s="38" t="n"/>
      <c r="H216" s="35" t="n"/>
      <c r="I216" s="50" t="n"/>
      <c r="J216" s="35" t="n"/>
      <c r="K216" s="35" t="n"/>
    </row>
    <row r="217">
      <c r="A217" s="35" t="n"/>
      <c r="B217" s="46" t="n"/>
      <c r="C217" s="35" t="n"/>
      <c r="D217" s="47" t="n"/>
      <c r="E217" s="48" t="n"/>
      <c r="F217" s="37" t="n"/>
      <c r="G217" s="38" t="n"/>
      <c r="H217" s="35" t="n"/>
      <c r="I217" s="50" t="n"/>
      <c r="J217" s="35" t="n"/>
      <c r="K217" s="35" t="n"/>
    </row>
    <row r="218">
      <c r="A218" s="35" t="n"/>
      <c r="B218" s="46" t="n"/>
      <c r="C218" s="35" t="n"/>
      <c r="D218" s="47" t="n"/>
      <c r="E218" s="48" t="n"/>
      <c r="F218" s="37" t="n"/>
      <c r="G218" s="38" t="n"/>
      <c r="H218" s="35" t="n"/>
      <c r="I218" s="50" t="n"/>
      <c r="J218" s="35" t="n"/>
      <c r="K218" s="35" t="n"/>
    </row>
    <row r="219">
      <c r="A219" s="35" t="n"/>
      <c r="B219" s="46" t="n"/>
      <c r="C219" s="35" t="n"/>
      <c r="D219" s="47" t="n"/>
      <c r="E219" s="48" t="n"/>
      <c r="F219" s="37" t="n"/>
      <c r="G219" s="38" t="n"/>
      <c r="H219" s="35" t="n"/>
      <c r="I219" s="50" t="n"/>
      <c r="J219" s="35" t="n"/>
      <c r="K219" s="35" t="n"/>
    </row>
    <row r="220">
      <c r="A220" s="35" t="n"/>
      <c r="B220" s="46" t="n"/>
      <c r="C220" s="35" t="n"/>
      <c r="D220" s="47" t="n"/>
      <c r="E220" s="48" t="n"/>
      <c r="F220" s="37" t="n"/>
      <c r="G220" s="38" t="n"/>
      <c r="H220" s="35" t="n"/>
      <c r="I220" s="50" t="n"/>
      <c r="J220" s="35" t="n"/>
      <c r="K220" s="35" t="n"/>
    </row>
    <row r="221">
      <c r="A221" s="35" t="n"/>
      <c r="B221" s="46" t="n"/>
      <c r="C221" s="35" t="n"/>
      <c r="D221" s="47" t="n"/>
      <c r="E221" s="48" t="n"/>
      <c r="F221" s="37" t="n"/>
      <c r="G221" s="38" t="n"/>
      <c r="H221" s="35" t="n"/>
      <c r="I221" s="50" t="n"/>
      <c r="J221" s="35" t="n"/>
      <c r="K221" s="35" t="n"/>
    </row>
    <row r="222">
      <c r="A222" s="35" t="n"/>
      <c r="B222" s="46" t="n"/>
      <c r="C222" s="35" t="n"/>
      <c r="D222" s="47" t="n"/>
      <c r="E222" s="48" t="n"/>
      <c r="F222" s="37" t="n"/>
      <c r="G222" s="38" t="n"/>
      <c r="H222" s="35" t="n"/>
      <c r="I222" s="50" t="n"/>
      <c r="J222" s="35" t="n"/>
      <c r="K222" s="35" t="n"/>
    </row>
    <row r="223">
      <c r="A223" s="35" t="n"/>
      <c r="B223" s="46" t="n"/>
      <c r="C223" s="35" t="n"/>
      <c r="D223" s="47" t="n"/>
      <c r="E223" s="48" t="n"/>
      <c r="F223" s="37" t="n"/>
      <c r="G223" s="38" t="n"/>
      <c r="H223" s="35" t="n"/>
      <c r="I223" s="50" t="n"/>
      <c r="J223" s="35" t="n"/>
      <c r="K223" s="35" t="n"/>
    </row>
    <row r="224">
      <c r="A224" s="35" t="n"/>
      <c r="B224" s="46" t="n"/>
      <c r="C224" s="35" t="n"/>
      <c r="D224" s="47" t="n"/>
      <c r="E224" s="48" t="n"/>
      <c r="F224" s="37" t="n"/>
      <c r="G224" s="38" t="n"/>
      <c r="H224" s="35" t="n"/>
      <c r="I224" s="50" t="n"/>
      <c r="J224" s="35" t="n"/>
      <c r="K224" s="35" t="n"/>
    </row>
    <row r="225">
      <c r="A225" s="35" t="n"/>
      <c r="B225" s="46" t="n"/>
      <c r="C225" s="35" t="n"/>
      <c r="D225" s="47" t="n"/>
      <c r="E225" s="48" t="n"/>
      <c r="F225" s="37" t="n"/>
      <c r="G225" s="38" t="n"/>
      <c r="H225" s="35" t="n"/>
      <c r="I225" s="50" t="n"/>
      <c r="J225" s="35" t="n"/>
      <c r="K225" s="35" t="n"/>
    </row>
    <row r="226">
      <c r="A226" s="35" t="n"/>
      <c r="B226" s="46" t="n"/>
      <c r="C226" s="35" t="n"/>
      <c r="D226" s="47" t="n"/>
      <c r="E226" s="48" t="n"/>
      <c r="F226" s="37" t="n"/>
      <c r="G226" s="38" t="n"/>
      <c r="H226" s="35" t="n"/>
      <c r="I226" s="50" t="n"/>
      <c r="J226" s="35" t="n"/>
      <c r="K226" s="35" t="n"/>
    </row>
    <row r="227">
      <c r="A227" s="35" t="n"/>
      <c r="B227" s="46" t="n"/>
      <c r="C227" s="35" t="n"/>
      <c r="D227" s="47" t="n"/>
      <c r="E227" s="48" t="n"/>
      <c r="F227" s="37" t="n"/>
      <c r="G227" s="38" t="n"/>
      <c r="H227" s="35" t="n"/>
      <c r="I227" s="50" t="n"/>
      <c r="J227" s="35" t="n"/>
      <c r="K227" s="35" t="n"/>
    </row>
    <row r="228">
      <c r="A228" s="35" t="n"/>
      <c r="B228" s="46" t="n"/>
      <c r="C228" s="35" t="n"/>
      <c r="D228" s="47" t="n"/>
      <c r="E228" s="48" t="n"/>
      <c r="F228" s="37" t="n"/>
      <c r="G228" s="38" t="n"/>
      <c r="H228" s="35" t="n"/>
      <c r="I228" s="50" t="n"/>
      <c r="J228" s="35" t="n"/>
      <c r="K228" s="35" t="n"/>
    </row>
    <row r="229">
      <c r="A229" s="35" t="n"/>
      <c r="B229" s="46" t="n"/>
      <c r="C229" s="35" t="n"/>
      <c r="D229" s="47" t="n"/>
      <c r="E229" s="48" t="n"/>
      <c r="F229" s="37" t="n"/>
      <c r="G229" s="38" t="n"/>
      <c r="H229" s="35" t="n"/>
      <c r="I229" s="50" t="n"/>
      <c r="J229" s="35" t="n"/>
      <c r="K229" s="35" t="n"/>
    </row>
    <row r="230">
      <c r="A230" s="35" t="n"/>
      <c r="B230" s="46" t="n"/>
      <c r="C230" s="35" t="n"/>
      <c r="D230" s="47" t="n"/>
      <c r="E230" s="48" t="n"/>
      <c r="F230" s="37" t="n"/>
      <c r="G230" s="38" t="n"/>
      <c r="H230" s="35" t="n"/>
      <c r="I230" s="50" t="n"/>
      <c r="J230" s="35" t="n"/>
      <c r="K230" s="35" t="n"/>
    </row>
    <row r="231">
      <c r="A231" s="35" t="n"/>
      <c r="B231" s="46" t="n"/>
      <c r="C231" s="35" t="n"/>
      <c r="D231" s="47" t="n"/>
      <c r="E231" s="48" t="n"/>
      <c r="F231" s="37" t="n"/>
      <c r="G231" s="38" t="n"/>
      <c r="H231" s="35" t="n"/>
      <c r="I231" s="50" t="n"/>
      <c r="J231" s="35" t="n"/>
      <c r="K231" s="35" t="n"/>
    </row>
    <row r="232">
      <c r="A232" s="35" t="n"/>
      <c r="B232" s="46" t="n"/>
      <c r="C232" s="35" t="n"/>
      <c r="D232" s="47" t="n"/>
      <c r="E232" s="48" t="n"/>
      <c r="F232" s="37" t="n"/>
      <c r="G232" s="38" t="n"/>
      <c r="H232" s="35" t="n"/>
      <c r="I232" s="50" t="n"/>
      <c r="J232" s="35" t="n"/>
      <c r="K232" s="35" t="n"/>
    </row>
    <row r="233">
      <c r="A233" s="35" t="n"/>
      <c r="B233" s="46" t="n"/>
      <c r="C233" s="35" t="n"/>
      <c r="D233" s="47" t="n"/>
      <c r="E233" s="48" t="n"/>
      <c r="F233" s="37" t="n"/>
      <c r="G233" s="38" t="n"/>
      <c r="H233" s="35" t="n"/>
      <c r="I233" s="50" t="n"/>
      <c r="J233" s="35" t="n"/>
      <c r="K233" s="35" t="n"/>
    </row>
    <row r="234">
      <c r="A234" s="35" t="n"/>
      <c r="B234" s="46" t="n"/>
      <c r="C234" s="35" t="n"/>
      <c r="D234" s="47" t="n"/>
      <c r="E234" s="48" t="n"/>
      <c r="F234" s="37" t="n"/>
      <c r="G234" s="38" t="n"/>
      <c r="H234" s="35" t="n"/>
      <c r="I234" s="50" t="n"/>
      <c r="J234" s="35" t="n"/>
      <c r="K234" s="35" t="n"/>
    </row>
    <row r="235">
      <c r="A235" s="35" t="n"/>
      <c r="B235" s="46" t="n"/>
      <c r="C235" s="35" t="n"/>
      <c r="D235" s="47" t="n"/>
      <c r="E235" s="48" t="n"/>
      <c r="F235" s="37" t="n"/>
      <c r="G235" s="38" t="n"/>
      <c r="H235" s="35" t="n"/>
      <c r="I235" s="50" t="n"/>
      <c r="J235" s="35" t="n"/>
      <c r="K235" s="35" t="n"/>
    </row>
    <row r="236">
      <c r="A236" s="35" t="n"/>
      <c r="B236" s="46" t="n"/>
      <c r="C236" s="35" t="n"/>
      <c r="D236" s="47" t="n"/>
      <c r="E236" s="48" t="n"/>
      <c r="F236" s="37" t="n"/>
      <c r="G236" s="38" t="n"/>
      <c r="H236" s="35" t="n"/>
      <c r="I236" s="50" t="n"/>
      <c r="J236" s="35" t="n"/>
      <c r="K236" s="35" t="n"/>
    </row>
    <row r="237">
      <c r="A237" s="35" t="n"/>
      <c r="B237" s="46" t="n"/>
      <c r="C237" s="35" t="n"/>
      <c r="D237" s="47" t="n"/>
      <c r="E237" s="48" t="n"/>
      <c r="F237" s="37" t="n"/>
      <c r="G237" s="38" t="n"/>
      <c r="H237" s="35" t="n"/>
      <c r="I237" s="50" t="n"/>
      <c r="J237" s="35" t="n"/>
      <c r="K237" s="35" t="n"/>
    </row>
    <row r="238">
      <c r="A238" s="35" t="n"/>
      <c r="B238" s="46" t="n"/>
      <c r="C238" s="35" t="n"/>
      <c r="D238" s="47" t="n"/>
      <c r="E238" s="48" t="n"/>
      <c r="F238" s="37" t="n"/>
      <c r="G238" s="38" t="n"/>
      <c r="H238" s="35" t="n"/>
      <c r="I238" s="50" t="n"/>
      <c r="J238" s="35" t="n"/>
      <c r="K238" s="35" t="n"/>
    </row>
    <row r="239">
      <c r="A239" s="35" t="n"/>
      <c r="B239" s="46" t="n"/>
      <c r="C239" s="35" t="n"/>
      <c r="D239" s="47" t="n"/>
      <c r="E239" s="48" t="n"/>
      <c r="F239" s="37" t="n"/>
      <c r="G239" s="38" t="n"/>
      <c r="H239" s="35" t="n"/>
      <c r="I239" s="50" t="n"/>
      <c r="J239" s="35" t="n"/>
      <c r="K239" s="35" t="n"/>
    </row>
    <row r="240">
      <c r="A240" s="35" t="n"/>
      <c r="B240" s="46" t="n"/>
      <c r="C240" s="35" t="n"/>
      <c r="D240" s="47" t="n"/>
      <c r="E240" s="48" t="n"/>
      <c r="F240" s="37" t="n"/>
      <c r="G240" s="38" t="n"/>
      <c r="H240" s="35" t="n"/>
      <c r="I240" s="50" t="n"/>
      <c r="J240" s="35" t="n"/>
      <c r="K240" s="35" t="n"/>
    </row>
    <row r="241">
      <c r="A241" s="35" t="n"/>
      <c r="B241" s="46" t="n"/>
      <c r="C241" s="35" t="n"/>
      <c r="D241" s="47" t="n"/>
      <c r="E241" s="48" t="n"/>
      <c r="F241" s="37" t="n"/>
      <c r="G241" s="38" t="n"/>
      <c r="H241" s="35" t="n"/>
      <c r="I241" s="50" t="n"/>
      <c r="J241" s="35" t="n"/>
      <c r="K241" s="35" t="n"/>
    </row>
    <row r="242">
      <c r="A242" s="35" t="n"/>
      <c r="B242" s="46" t="n"/>
      <c r="C242" s="35" t="n"/>
      <c r="D242" s="47" t="n"/>
      <c r="E242" s="48" t="n"/>
      <c r="F242" s="37" t="n"/>
      <c r="G242" s="38" t="n"/>
      <c r="H242" s="35" t="n"/>
      <c r="I242" s="50" t="n"/>
      <c r="J242" s="35" t="n"/>
      <c r="K242" s="35" t="n"/>
    </row>
    <row r="243">
      <c r="A243" s="35" t="n"/>
      <c r="B243" s="46" t="n"/>
      <c r="C243" s="35" t="n"/>
      <c r="D243" s="47" t="n"/>
      <c r="E243" s="48" t="n"/>
      <c r="F243" s="37" t="n"/>
      <c r="G243" s="38" t="n"/>
      <c r="H243" s="35" t="n"/>
      <c r="I243" s="50" t="n"/>
      <c r="J243" s="35" t="n"/>
      <c r="K243" s="35" t="n"/>
    </row>
    <row r="244">
      <c r="A244" s="35" t="n"/>
      <c r="B244" s="46" t="n"/>
      <c r="C244" s="35" t="n"/>
      <c r="D244" s="47" t="n"/>
      <c r="E244" s="48" t="n"/>
      <c r="F244" s="37" t="n"/>
      <c r="G244" s="38" t="n"/>
      <c r="H244" s="35" t="n"/>
      <c r="I244" s="50" t="n"/>
      <c r="J244" s="35" t="n"/>
      <c r="K244" s="35" t="n"/>
    </row>
    <row r="245">
      <c r="A245" s="35" t="n"/>
      <c r="B245" s="46" t="n"/>
      <c r="C245" s="35" t="n"/>
      <c r="D245" s="47" t="n"/>
      <c r="E245" s="48" t="n"/>
      <c r="F245" s="37" t="n"/>
      <c r="G245" s="38" t="n"/>
      <c r="H245" s="35" t="n"/>
      <c r="I245" s="50" t="n"/>
      <c r="J245" s="35" t="n"/>
      <c r="K245" s="35" t="n"/>
    </row>
    <row r="246">
      <c r="A246" s="35" t="n"/>
      <c r="B246" s="46" t="n"/>
      <c r="C246" s="35" t="n"/>
      <c r="D246" s="47" t="n"/>
      <c r="E246" s="48" t="n"/>
      <c r="F246" s="37" t="n"/>
      <c r="G246" s="38" t="n"/>
      <c r="H246" s="35" t="n"/>
      <c r="I246" s="50" t="n"/>
      <c r="J246" s="35" t="n"/>
      <c r="K246" s="35" t="n"/>
    </row>
    <row r="247">
      <c r="A247" s="35" t="n"/>
      <c r="B247" s="46" t="n"/>
      <c r="C247" s="35" t="n"/>
      <c r="D247" s="47" t="n"/>
      <c r="E247" s="48" t="n"/>
      <c r="F247" s="37" t="n"/>
      <c r="G247" s="38" t="n"/>
      <c r="H247" s="35" t="n"/>
      <c r="I247" s="50" t="n"/>
      <c r="J247" s="35" t="n"/>
      <c r="K247" s="35" t="n"/>
    </row>
    <row r="248">
      <c r="A248" s="35" t="n"/>
      <c r="B248" s="46" t="n"/>
      <c r="C248" s="35" t="n"/>
      <c r="D248" s="47" t="n"/>
      <c r="E248" s="48" t="n"/>
      <c r="F248" s="37" t="n"/>
      <c r="G248" s="38" t="n"/>
      <c r="H248" s="35" t="n"/>
      <c r="I248" s="50" t="n"/>
      <c r="J248" s="35" t="n"/>
      <c r="K248" s="35" t="n"/>
    </row>
    <row r="249">
      <c r="A249" s="35" t="n"/>
      <c r="B249" s="46" t="n"/>
      <c r="C249" s="35" t="n"/>
      <c r="D249" s="47" t="n"/>
      <c r="E249" s="48" t="n"/>
      <c r="F249" s="37" t="n"/>
      <c r="G249" s="38" t="n"/>
      <c r="H249" s="35" t="n"/>
      <c r="I249" s="50" t="n"/>
      <c r="J249" s="35" t="n"/>
      <c r="K249" s="35" t="n"/>
    </row>
    <row r="250">
      <c r="A250" s="35" t="n"/>
      <c r="B250" s="46" t="n"/>
      <c r="C250" s="35" t="n"/>
      <c r="D250" s="47" t="n"/>
      <c r="E250" s="48" t="n"/>
      <c r="F250" s="37" t="n"/>
      <c r="G250" s="38" t="n"/>
      <c r="H250" s="35" t="n"/>
      <c r="I250" s="50" t="n"/>
      <c r="J250" s="35" t="n"/>
      <c r="K250" s="35" t="n"/>
    </row>
    <row r="251">
      <c r="A251" s="35" t="n"/>
      <c r="B251" s="46" t="n"/>
      <c r="C251" s="35" t="n"/>
      <c r="D251" s="47" t="n"/>
      <c r="E251" s="48" t="n"/>
      <c r="F251" s="37" t="n"/>
      <c r="G251" s="38" t="n"/>
      <c r="H251" s="35" t="n"/>
      <c r="I251" s="50" t="n"/>
      <c r="J251" s="35" t="n"/>
      <c r="K251" s="35" t="n"/>
    </row>
    <row r="252">
      <c r="A252" s="35" t="n"/>
      <c r="B252" s="46" t="n"/>
      <c r="C252" s="35" t="n"/>
      <c r="D252" s="47" t="n"/>
      <c r="E252" s="48" t="n"/>
      <c r="F252" s="37" t="n"/>
      <c r="G252" s="38" t="n"/>
      <c r="H252" s="35" t="n"/>
      <c r="I252" s="50" t="n"/>
      <c r="J252" s="35" t="n"/>
      <c r="K252" s="35" t="n"/>
    </row>
    <row r="253">
      <c r="A253" s="35" t="n"/>
      <c r="B253" s="46" t="n"/>
      <c r="C253" s="35" t="n"/>
      <c r="D253" s="47" t="n"/>
      <c r="E253" s="48" t="n"/>
      <c r="F253" s="37" t="n"/>
      <c r="G253" s="38" t="n"/>
      <c r="H253" s="35" t="n"/>
      <c r="I253" s="50" t="n"/>
      <c r="J253" s="35" t="n"/>
      <c r="K253" s="35" t="n"/>
    </row>
    <row r="254">
      <c r="A254" s="35" t="n"/>
      <c r="B254" s="46" t="n"/>
      <c r="C254" s="35" t="n"/>
      <c r="D254" s="47" t="n"/>
      <c r="E254" s="48" t="n"/>
      <c r="F254" s="37" t="n"/>
      <c r="G254" s="38" t="n"/>
      <c r="H254" s="35" t="n"/>
      <c r="I254" s="50" t="n"/>
      <c r="J254" s="35" t="n"/>
      <c r="K254" s="35" t="n"/>
    </row>
    <row r="255">
      <c r="A255" s="35" t="n"/>
      <c r="B255" s="46" t="n"/>
      <c r="C255" s="35" t="n"/>
      <c r="D255" s="47" t="n"/>
      <c r="E255" s="48" t="n"/>
      <c r="F255" s="37" t="n"/>
      <c r="G255" s="38" t="n"/>
      <c r="H255" s="35" t="n"/>
      <c r="I255" s="50" t="n"/>
      <c r="J255" s="35" t="n"/>
      <c r="K255" s="35" t="n"/>
    </row>
    <row r="256">
      <c r="A256" s="35" t="n"/>
      <c r="B256" s="46" t="n"/>
      <c r="C256" s="35" t="n"/>
      <c r="D256" s="47" t="n"/>
      <c r="E256" s="48" t="n"/>
      <c r="F256" s="37" t="n"/>
      <c r="G256" s="38" t="n"/>
      <c r="H256" s="35" t="n"/>
      <c r="I256" s="50" t="n"/>
      <c r="J256" s="35" t="n"/>
      <c r="K256" s="35" t="n"/>
    </row>
    <row r="257">
      <c r="A257" s="35" t="n"/>
      <c r="B257" s="46" t="n"/>
      <c r="C257" s="35" t="n"/>
      <c r="D257" s="47" t="n"/>
      <c r="E257" s="48" t="n"/>
      <c r="F257" s="37" t="n"/>
      <c r="G257" s="38" t="n"/>
      <c r="H257" s="35" t="n"/>
      <c r="I257" s="50" t="n"/>
      <c r="J257" s="35" t="n"/>
      <c r="K257" s="35" t="n"/>
    </row>
    <row r="258">
      <c r="A258" s="35" t="n"/>
      <c r="B258" s="46" t="n"/>
      <c r="C258" s="35" t="n"/>
      <c r="D258" s="47" t="n"/>
      <c r="E258" s="48" t="n"/>
      <c r="F258" s="37" t="n"/>
      <c r="G258" s="38" t="n"/>
      <c r="H258" s="35" t="n"/>
      <c r="I258" s="50" t="n"/>
      <c r="J258" s="35" t="n"/>
      <c r="K258" s="35" t="n"/>
    </row>
    <row r="259">
      <c r="A259" s="35" t="n"/>
      <c r="B259" s="46" t="n"/>
      <c r="C259" s="35" t="n"/>
      <c r="D259" s="47" t="n"/>
      <c r="E259" s="48" t="n"/>
      <c r="F259" s="37" t="n"/>
      <c r="G259" s="38" t="n"/>
      <c r="H259" s="35" t="n"/>
      <c r="I259" s="50" t="n"/>
      <c r="J259" s="35" t="n"/>
      <c r="K259" s="35" t="n"/>
    </row>
    <row r="260">
      <c r="A260" s="35" t="n"/>
      <c r="B260" s="46" t="n"/>
      <c r="C260" s="35" t="n"/>
      <c r="D260" s="47" t="n"/>
      <c r="E260" s="48" t="n"/>
      <c r="F260" s="37" t="n"/>
      <c r="G260" s="38" t="n"/>
      <c r="H260" s="35" t="n"/>
      <c r="I260" s="50" t="n"/>
      <c r="J260" s="35" t="n"/>
      <c r="K260" s="35" t="n"/>
    </row>
    <row r="261">
      <c r="A261" s="35" t="n"/>
      <c r="B261" s="46" t="n"/>
      <c r="C261" s="35" t="n"/>
      <c r="D261" s="47" t="n"/>
      <c r="E261" s="48" t="n"/>
      <c r="F261" s="37" t="n"/>
      <c r="G261" s="38" t="n"/>
      <c r="H261" s="35" t="n"/>
      <c r="I261" s="50" t="n"/>
      <c r="J261" s="35" t="n"/>
      <c r="K261" s="35" t="n"/>
    </row>
    <row r="262">
      <c r="A262" s="35" t="n"/>
      <c r="B262" s="46" t="n"/>
      <c r="C262" s="35" t="n"/>
      <c r="D262" s="47" t="n"/>
      <c r="E262" s="48" t="n"/>
      <c r="F262" s="37" t="n"/>
      <c r="G262" s="38" t="n"/>
      <c r="H262" s="35" t="n"/>
      <c r="I262" s="50" t="n"/>
      <c r="J262" s="35" t="n"/>
      <c r="K262" s="35" t="n"/>
    </row>
    <row r="263">
      <c r="A263" s="35" t="n"/>
      <c r="B263" s="46" t="n"/>
      <c r="C263" s="35" t="n"/>
      <c r="D263" s="47" t="n"/>
      <c r="E263" s="48" t="n"/>
      <c r="F263" s="37" t="n"/>
      <c r="G263" s="38" t="n"/>
      <c r="H263" s="35" t="n"/>
      <c r="I263" s="50" t="n"/>
      <c r="J263" s="35" t="n"/>
      <c r="K263" s="35" t="n"/>
    </row>
    <row r="264">
      <c r="A264" s="35" t="n"/>
      <c r="B264" s="46" t="n"/>
      <c r="C264" s="35" t="n"/>
      <c r="D264" s="47" t="n"/>
      <c r="E264" s="48" t="n"/>
      <c r="F264" s="37" t="n"/>
      <c r="G264" s="38" t="n"/>
      <c r="H264" s="35" t="n"/>
      <c r="I264" s="50" t="n"/>
      <c r="J264" s="35" t="n"/>
      <c r="K264" s="35" t="n"/>
    </row>
    <row r="265">
      <c r="A265" s="35" t="n"/>
      <c r="B265" s="46" t="n"/>
      <c r="C265" s="35" t="n"/>
      <c r="D265" s="47" t="n"/>
      <c r="E265" s="48" t="n"/>
      <c r="F265" s="37" t="n"/>
      <c r="G265" s="38" t="n"/>
      <c r="H265" s="35" t="n"/>
      <c r="I265" s="50" t="n"/>
      <c r="J265" s="35" t="n"/>
      <c r="K265" s="35" t="n"/>
    </row>
    <row r="266">
      <c r="A266" s="35" t="n"/>
      <c r="B266" s="46" t="n"/>
      <c r="C266" s="35" t="n"/>
      <c r="D266" s="47" t="n"/>
      <c r="E266" s="48" t="n"/>
      <c r="F266" s="37" t="n"/>
      <c r="G266" s="38" t="n"/>
      <c r="H266" s="35" t="n"/>
      <c r="I266" s="50" t="n"/>
      <c r="J266" s="35" t="n"/>
      <c r="K266" s="35" t="n"/>
    </row>
    <row r="267">
      <c r="A267" s="35" t="n"/>
      <c r="B267" s="46" t="n"/>
      <c r="C267" s="35" t="n"/>
      <c r="D267" s="47" t="n"/>
      <c r="E267" s="48" t="n"/>
      <c r="F267" s="37" t="n"/>
      <c r="G267" s="38" t="n"/>
      <c r="H267" s="35" t="n"/>
      <c r="I267" s="50" t="n"/>
      <c r="J267" s="35" t="n"/>
      <c r="K267" s="35" t="n"/>
    </row>
    <row r="268">
      <c r="A268" s="35" t="n"/>
      <c r="B268" s="46" t="n"/>
      <c r="C268" s="35" t="n"/>
      <c r="D268" s="47" t="n"/>
      <c r="E268" s="48" t="n"/>
      <c r="F268" s="37" t="n"/>
      <c r="G268" s="38" t="n"/>
      <c r="H268" s="35" t="n"/>
      <c r="I268" s="50" t="n"/>
      <c r="J268" s="35" t="n"/>
      <c r="K268" s="35" t="n"/>
    </row>
    <row r="269">
      <c r="A269" s="35" t="n"/>
      <c r="B269" s="46" t="n"/>
      <c r="C269" s="35" t="n"/>
      <c r="D269" s="47" t="n"/>
      <c r="E269" s="48" t="n"/>
      <c r="F269" s="37" t="n"/>
      <c r="G269" s="38" t="n"/>
      <c r="H269" s="35" t="n"/>
      <c r="I269" s="50" t="n"/>
      <c r="J269" s="35" t="n"/>
      <c r="K269" s="35" t="n"/>
    </row>
    <row r="270">
      <c r="A270" s="35" t="n"/>
      <c r="B270" s="46" t="n"/>
      <c r="C270" s="35" t="n"/>
      <c r="D270" s="47" t="n"/>
      <c r="E270" s="48" t="n"/>
      <c r="F270" s="37" t="n"/>
      <c r="G270" s="38" t="n"/>
      <c r="H270" s="35" t="n"/>
      <c r="I270" s="50" t="n"/>
      <c r="J270" s="35" t="n"/>
      <c r="K270" s="35" t="n"/>
    </row>
    <row r="271">
      <c r="A271" s="35" t="n"/>
      <c r="B271" s="46" t="n"/>
      <c r="C271" s="35" t="n"/>
      <c r="D271" s="47" t="n"/>
      <c r="E271" s="48" t="n"/>
      <c r="F271" s="37" t="n"/>
      <c r="G271" s="38" t="n"/>
      <c r="H271" s="35" t="n"/>
      <c r="I271" s="50" t="n"/>
      <c r="J271" s="35" t="n"/>
      <c r="K271" s="35" t="n"/>
    </row>
    <row r="272">
      <c r="A272" s="35" t="n"/>
      <c r="B272" s="46" t="n"/>
      <c r="C272" s="35" t="n"/>
      <c r="D272" s="47" t="n"/>
      <c r="E272" s="48" t="n"/>
      <c r="F272" s="37" t="n"/>
      <c r="G272" s="38" t="n"/>
      <c r="H272" s="35" t="n"/>
      <c r="I272" s="50" t="n"/>
      <c r="J272" s="35" t="n"/>
      <c r="K272" s="35" t="n"/>
    </row>
    <row r="273">
      <c r="A273" s="35" t="n"/>
      <c r="B273" s="46" t="n"/>
      <c r="C273" s="35" t="n"/>
      <c r="D273" s="47" t="n"/>
      <c r="E273" s="48" t="n"/>
      <c r="F273" s="37" t="n"/>
      <c r="G273" s="38" t="n"/>
      <c r="H273" s="35" t="n"/>
      <c r="I273" s="50" t="n"/>
      <c r="J273" s="35" t="n"/>
      <c r="K273" s="35" t="n"/>
    </row>
    <row r="274">
      <c r="A274" s="35" t="n"/>
      <c r="B274" s="46" t="n"/>
      <c r="C274" s="35" t="n"/>
      <c r="D274" s="47" t="n"/>
      <c r="E274" s="48" t="n"/>
      <c r="F274" s="37" t="n"/>
      <c r="G274" s="38" t="n"/>
      <c r="H274" s="35" t="n"/>
      <c r="I274" s="50" t="n"/>
      <c r="J274" s="35" t="n"/>
      <c r="K274" s="35" t="n"/>
    </row>
    <row r="275">
      <c r="A275" s="35" t="n"/>
      <c r="B275" s="46" t="n"/>
      <c r="C275" s="35" t="n"/>
      <c r="D275" s="47" t="n"/>
      <c r="E275" s="48" t="n"/>
      <c r="F275" s="37" t="n"/>
      <c r="G275" s="38" t="n"/>
      <c r="H275" s="35" t="n"/>
      <c r="I275" s="50" t="n"/>
      <c r="J275" s="35" t="n"/>
      <c r="K275" s="35" t="n"/>
    </row>
    <row r="276">
      <c r="A276" s="35" t="n"/>
      <c r="B276" s="46" t="n"/>
      <c r="C276" s="35" t="n"/>
      <c r="D276" s="47" t="n"/>
      <c r="E276" s="48" t="n"/>
      <c r="F276" s="37" t="n"/>
      <c r="G276" s="38" t="n"/>
      <c r="H276" s="35" t="n"/>
      <c r="I276" s="50" t="n"/>
      <c r="J276" s="35" t="n"/>
      <c r="K276" s="35" t="n"/>
    </row>
    <row r="277">
      <c r="A277" s="35" t="n"/>
      <c r="B277" s="46" t="n"/>
      <c r="C277" s="35" t="n"/>
      <c r="D277" s="47" t="n"/>
      <c r="E277" s="48" t="n"/>
      <c r="F277" s="37" t="n"/>
      <c r="G277" s="38" t="n"/>
      <c r="H277" s="35" t="n"/>
      <c r="I277" s="50" t="n"/>
      <c r="J277" s="35" t="n"/>
      <c r="K277" s="35" t="n"/>
    </row>
    <row r="278">
      <c r="A278" s="35" t="n"/>
      <c r="B278" s="46" t="n"/>
      <c r="C278" s="35" t="n"/>
      <c r="D278" s="47" t="n"/>
      <c r="E278" s="48" t="n"/>
      <c r="F278" s="37" t="n"/>
      <c r="G278" s="38" t="n"/>
      <c r="H278" s="35" t="n"/>
      <c r="I278" s="50" t="n"/>
      <c r="J278" s="35" t="n"/>
      <c r="K278" s="35" t="n"/>
    </row>
    <row r="279">
      <c r="A279" s="35" t="n"/>
      <c r="B279" s="46" t="n"/>
      <c r="C279" s="35" t="n"/>
      <c r="D279" s="47" t="n"/>
      <c r="E279" s="48" t="n"/>
      <c r="F279" s="37" t="n"/>
      <c r="G279" s="38" t="n"/>
      <c r="H279" s="35" t="n"/>
      <c r="I279" s="50" t="n"/>
      <c r="J279" s="35" t="n"/>
      <c r="K279" s="35" t="n"/>
    </row>
    <row r="280">
      <c r="A280" s="35" t="n"/>
      <c r="B280" s="46" t="n"/>
      <c r="C280" s="35" t="n"/>
      <c r="D280" s="47" t="n"/>
      <c r="E280" s="48" t="n"/>
      <c r="F280" s="37" t="n"/>
      <c r="G280" s="38" t="n"/>
      <c r="H280" s="35" t="n"/>
      <c r="I280" s="50" t="n"/>
      <c r="J280" s="35" t="n"/>
      <c r="K280" s="35" t="n"/>
    </row>
    <row r="281">
      <c r="A281" s="35" t="n"/>
      <c r="B281" s="46" t="n"/>
      <c r="C281" s="35" t="n"/>
      <c r="D281" s="47" t="n"/>
      <c r="E281" s="48" t="n"/>
      <c r="F281" s="37" t="n"/>
      <c r="G281" s="38" t="n"/>
      <c r="H281" s="35" t="n"/>
      <c r="I281" s="50" t="n"/>
      <c r="J281" s="35" t="n"/>
      <c r="K281" s="35" t="n"/>
    </row>
    <row r="282">
      <c r="A282" s="35" t="n"/>
      <c r="B282" s="46" t="n"/>
      <c r="C282" s="35" t="n"/>
      <c r="D282" s="47" t="n"/>
      <c r="E282" s="48" t="n"/>
      <c r="F282" s="37" t="n"/>
      <c r="G282" s="38" t="n"/>
      <c r="H282" s="35" t="n"/>
      <c r="I282" s="50" t="n"/>
      <c r="J282" s="35" t="n"/>
      <c r="K282" s="35" t="n"/>
    </row>
    <row r="283">
      <c r="A283" s="35" t="n"/>
      <c r="B283" s="46" t="n"/>
      <c r="C283" s="35" t="n"/>
      <c r="D283" s="47" t="n"/>
      <c r="E283" s="48" t="n"/>
      <c r="F283" s="37" t="n"/>
      <c r="G283" s="38" t="n"/>
      <c r="H283" s="35" t="n"/>
      <c r="I283" s="50" t="n"/>
      <c r="J283" s="35" t="n"/>
      <c r="K283" s="35" t="n"/>
    </row>
    <row r="284">
      <c r="A284" s="35" t="n"/>
      <c r="B284" s="46" t="n"/>
      <c r="C284" s="35" t="n"/>
      <c r="D284" s="47" t="n"/>
      <c r="E284" s="48" t="n"/>
      <c r="F284" s="37" t="n"/>
      <c r="G284" s="38" t="n"/>
      <c r="H284" s="35" t="n"/>
      <c r="I284" s="50" t="n"/>
      <c r="J284" s="35" t="n"/>
      <c r="K284" s="35" t="n"/>
    </row>
    <row r="285">
      <c r="A285" s="35" t="n"/>
      <c r="B285" s="46" t="n"/>
      <c r="C285" s="35" t="n"/>
      <c r="D285" s="47" t="n"/>
      <c r="E285" s="48" t="n"/>
      <c r="F285" s="37" t="n"/>
      <c r="G285" s="38" t="n"/>
      <c r="H285" s="35" t="n"/>
      <c r="I285" s="50" t="n"/>
      <c r="J285" s="35" t="n"/>
      <c r="K285" s="35" t="n"/>
    </row>
    <row r="286">
      <c r="A286" s="35" t="n"/>
      <c r="B286" s="46" t="n"/>
      <c r="C286" s="35" t="n"/>
      <c r="D286" s="47" t="n"/>
      <c r="E286" s="48" t="n"/>
      <c r="F286" s="37" t="n"/>
      <c r="G286" s="38" t="n"/>
      <c r="H286" s="35" t="n"/>
      <c r="I286" s="50" t="n"/>
      <c r="J286" s="35" t="n"/>
      <c r="K286" s="35" t="n"/>
    </row>
    <row r="287">
      <c r="A287" s="35" t="n"/>
      <c r="B287" s="46" t="n"/>
      <c r="C287" s="35" t="n"/>
      <c r="D287" s="47" t="n"/>
      <c r="E287" s="48" t="n"/>
      <c r="F287" s="37" t="n"/>
      <c r="G287" s="38" t="n"/>
      <c r="H287" s="35" t="n"/>
      <c r="I287" s="50" t="n"/>
      <c r="J287" s="35" t="n"/>
      <c r="K287" s="35" t="n"/>
    </row>
    <row r="288">
      <c r="A288" s="35" t="n"/>
      <c r="B288" s="46" t="n"/>
      <c r="C288" s="35" t="n"/>
      <c r="D288" s="47" t="n"/>
      <c r="E288" s="48" t="n"/>
      <c r="F288" s="37" t="n"/>
      <c r="G288" s="38" t="n"/>
      <c r="H288" s="35" t="n"/>
      <c r="I288" s="50" t="n"/>
      <c r="J288" s="35" t="n"/>
      <c r="K288" s="35" t="n"/>
    </row>
    <row r="289">
      <c r="A289" s="35" t="n"/>
      <c r="B289" s="46" t="n"/>
      <c r="C289" s="35" t="n"/>
      <c r="D289" s="47" t="n"/>
      <c r="E289" s="48" t="n"/>
      <c r="F289" s="37" t="n"/>
      <c r="G289" s="38" t="n"/>
      <c r="H289" s="35" t="n"/>
      <c r="I289" s="50" t="n"/>
      <c r="J289" s="35" t="n"/>
      <c r="K289" s="35" t="n"/>
    </row>
    <row r="290">
      <c r="A290" s="35" t="n"/>
      <c r="B290" s="46" t="n"/>
      <c r="C290" s="35" t="n"/>
      <c r="D290" s="47" t="n"/>
      <c r="E290" s="48" t="n"/>
      <c r="F290" s="37" t="n"/>
      <c r="G290" s="38" t="n"/>
      <c r="H290" s="35" t="n"/>
      <c r="I290" s="50" t="n"/>
      <c r="J290" s="35" t="n"/>
      <c r="K290" s="35" t="n"/>
    </row>
    <row r="291">
      <c r="A291" s="35" t="n"/>
      <c r="B291" s="46" t="n"/>
      <c r="C291" s="35" t="n"/>
      <c r="D291" s="47" t="n"/>
      <c r="E291" s="48" t="n"/>
      <c r="F291" s="37" t="n"/>
      <c r="G291" s="38" t="n"/>
      <c r="H291" s="35" t="n"/>
      <c r="I291" s="50" t="n"/>
      <c r="J291" s="35" t="n"/>
      <c r="K291" s="35" t="n"/>
    </row>
    <row r="292">
      <c r="A292" s="35" t="n"/>
      <c r="B292" s="46" t="n"/>
      <c r="C292" s="35" t="n"/>
      <c r="D292" s="47" t="n"/>
      <c r="E292" s="48" t="n"/>
      <c r="F292" s="37" t="n"/>
      <c r="G292" s="38" t="n"/>
      <c r="H292" s="35" t="n"/>
      <c r="I292" s="50" t="n"/>
      <c r="J292" s="35" t="n"/>
      <c r="K292" s="35" t="n"/>
    </row>
    <row r="293">
      <c r="A293" s="35" t="n"/>
      <c r="B293" s="46" t="n"/>
      <c r="C293" s="35" t="n"/>
      <c r="D293" s="47" t="n"/>
      <c r="E293" s="48" t="n"/>
      <c r="F293" s="37" t="n"/>
      <c r="G293" s="38" t="n"/>
      <c r="H293" s="35" t="n"/>
      <c r="I293" s="50" t="n"/>
      <c r="J293" s="35" t="n"/>
      <c r="K293" s="35" t="n"/>
    </row>
    <row r="294">
      <c r="A294" s="35" t="n"/>
      <c r="B294" s="46" t="n"/>
      <c r="C294" s="35" t="n"/>
      <c r="D294" s="47" t="n"/>
      <c r="E294" s="48" t="n"/>
      <c r="F294" s="37" t="n"/>
      <c r="G294" s="38" t="n"/>
      <c r="H294" s="35" t="n"/>
      <c r="I294" s="50" t="n"/>
      <c r="J294" s="35" t="n"/>
      <c r="K294" s="35" t="n"/>
    </row>
    <row r="295">
      <c r="A295" s="35" t="n"/>
      <c r="B295" s="46" t="n"/>
      <c r="C295" s="35" t="n"/>
      <c r="D295" s="47" t="n"/>
      <c r="E295" s="48" t="n"/>
      <c r="F295" s="37" t="n"/>
      <c r="G295" s="38" t="n"/>
      <c r="H295" s="35" t="n"/>
      <c r="I295" s="50" t="n"/>
      <c r="J295" s="35" t="n"/>
      <c r="K295" s="35" t="n"/>
    </row>
    <row r="296">
      <c r="A296" s="35" t="n"/>
      <c r="B296" s="46" t="n"/>
      <c r="C296" s="35" t="n"/>
      <c r="D296" s="47" t="n"/>
      <c r="E296" s="48" t="n"/>
      <c r="F296" s="37" t="n"/>
      <c r="G296" s="38" t="n"/>
      <c r="H296" s="35" t="n"/>
      <c r="I296" s="50" t="n"/>
      <c r="J296" s="35" t="n"/>
      <c r="K296" s="35" t="n"/>
    </row>
    <row r="297">
      <c r="A297" s="35" t="n"/>
      <c r="B297" s="46" t="n"/>
      <c r="C297" s="35" t="n"/>
      <c r="D297" s="47" t="n"/>
      <c r="E297" s="48" t="n"/>
      <c r="F297" s="37" t="n"/>
      <c r="G297" s="38" t="n"/>
      <c r="H297" s="35" t="n"/>
      <c r="I297" s="50" t="n"/>
      <c r="J297" s="35" t="n"/>
      <c r="K297" s="35" t="n"/>
    </row>
    <row r="298">
      <c r="A298" s="35" t="n"/>
      <c r="B298" s="46" t="n"/>
      <c r="C298" s="35" t="n"/>
      <c r="D298" s="47" t="n"/>
      <c r="E298" s="48" t="n"/>
      <c r="F298" s="37" t="n"/>
      <c r="G298" s="38" t="n"/>
      <c r="H298" s="35" t="n"/>
      <c r="I298" s="50" t="n"/>
      <c r="J298" s="35" t="n"/>
      <c r="K298" s="35" t="n"/>
    </row>
    <row r="299">
      <c r="A299" s="35" t="n"/>
      <c r="B299" s="46" t="n"/>
      <c r="C299" s="35" t="n"/>
      <c r="D299" s="47" t="n"/>
      <c r="E299" s="48" t="n"/>
      <c r="F299" s="37" t="n"/>
      <c r="G299" s="38" t="n"/>
      <c r="H299" s="35" t="n"/>
      <c r="I299" s="50" t="n"/>
      <c r="J299" s="35" t="n"/>
      <c r="K299" s="35" t="n"/>
    </row>
    <row r="300">
      <c r="A300" s="35" t="n"/>
      <c r="B300" s="46" t="n"/>
      <c r="C300" s="35" t="n"/>
      <c r="D300" s="47" t="n"/>
      <c r="E300" s="48" t="n"/>
      <c r="F300" s="37" t="n"/>
      <c r="G300" s="38" t="n"/>
      <c r="H300" s="35" t="n"/>
      <c r="I300" s="50" t="n"/>
      <c r="J300" s="35" t="n"/>
      <c r="K300" s="35" t="n"/>
    </row>
    <row r="301">
      <c r="A301" s="35" t="n"/>
      <c r="B301" s="46" t="n"/>
      <c r="C301" s="35" t="n"/>
      <c r="D301" s="47" t="n"/>
      <c r="E301" s="48" t="n"/>
      <c r="F301" s="37" t="n"/>
      <c r="G301" s="38" t="n"/>
      <c r="H301" s="35" t="n"/>
      <c r="I301" s="50" t="n"/>
      <c r="J301" s="35" t="n"/>
      <c r="K301" s="35" t="n"/>
    </row>
    <row r="302">
      <c r="A302" s="35" t="n"/>
      <c r="B302" s="46" t="n"/>
      <c r="C302" s="35" t="n"/>
      <c r="D302" s="47" t="n"/>
      <c r="E302" s="48" t="n"/>
      <c r="F302" s="37" t="n"/>
      <c r="G302" s="38" t="n"/>
      <c r="H302" s="35" t="n"/>
      <c r="I302" s="50" t="n"/>
      <c r="J302" s="35" t="n"/>
      <c r="K302" s="35" t="n"/>
    </row>
    <row r="303">
      <c r="A303" s="35" t="n"/>
      <c r="B303" s="46" t="n"/>
      <c r="C303" s="35" t="n"/>
      <c r="D303" s="47" t="n"/>
      <c r="E303" s="48" t="n"/>
      <c r="F303" s="37" t="n"/>
      <c r="G303" s="38" t="n"/>
      <c r="H303" s="35" t="n"/>
      <c r="I303" s="50" t="n"/>
      <c r="J303" s="35" t="n"/>
      <c r="K303" s="35" t="n"/>
    </row>
    <row r="304">
      <c r="A304" s="35" t="n"/>
      <c r="B304" s="46" t="n"/>
      <c r="C304" s="35" t="n"/>
      <c r="D304" s="47" t="n"/>
      <c r="E304" s="48" t="n"/>
      <c r="F304" s="37" t="n"/>
      <c r="G304" s="38" t="n"/>
      <c r="H304" s="35" t="n"/>
      <c r="I304" s="50" t="n"/>
      <c r="J304" s="35" t="n"/>
      <c r="K304" s="35" t="n"/>
    </row>
    <row r="305">
      <c r="A305" s="35" t="n"/>
      <c r="B305" s="46" t="n"/>
      <c r="C305" s="35" t="n"/>
      <c r="D305" s="47" t="n"/>
      <c r="E305" s="48" t="n"/>
      <c r="F305" s="37" t="n"/>
      <c r="G305" s="38" t="n"/>
      <c r="H305" s="35" t="n"/>
      <c r="I305" s="50" t="n"/>
      <c r="J305" s="35" t="n"/>
      <c r="K305" s="35" t="n"/>
    </row>
    <row r="306">
      <c r="A306" s="35" t="n"/>
      <c r="B306" s="46" t="n"/>
      <c r="C306" s="35" t="n"/>
      <c r="D306" s="47" t="n"/>
      <c r="E306" s="48" t="n"/>
      <c r="F306" s="37" t="n"/>
      <c r="G306" s="38" t="n"/>
      <c r="H306" s="35" t="n"/>
      <c r="I306" s="50" t="n"/>
      <c r="J306" s="35" t="n"/>
      <c r="K306" s="35" t="n"/>
    </row>
    <row r="307">
      <c r="A307" s="35" t="n"/>
      <c r="B307" s="46" t="n"/>
      <c r="C307" s="35" t="n"/>
      <c r="D307" s="47" t="n"/>
      <c r="E307" s="48" t="n"/>
      <c r="F307" s="37" t="n"/>
      <c r="G307" s="38" t="n"/>
      <c r="H307" s="35" t="n"/>
      <c r="I307" s="50" t="n"/>
      <c r="J307" s="35" t="n"/>
      <c r="K307" s="35" t="n"/>
    </row>
    <row r="308">
      <c r="A308" s="35" t="n"/>
      <c r="B308" s="46" t="n"/>
      <c r="C308" s="35" t="n"/>
      <c r="D308" s="47" t="n"/>
      <c r="E308" s="48" t="n"/>
      <c r="F308" s="37" t="n"/>
      <c r="G308" s="38" t="n"/>
      <c r="H308" s="35" t="n"/>
      <c r="I308" s="50" t="n"/>
      <c r="J308" s="35" t="n"/>
      <c r="K308" s="35" t="n"/>
    </row>
    <row r="309">
      <c r="A309" s="35" t="n"/>
      <c r="B309" s="46" t="n"/>
      <c r="C309" s="35" t="n"/>
      <c r="D309" s="47" t="n"/>
      <c r="E309" s="48" t="n"/>
      <c r="F309" s="37" t="n"/>
      <c r="G309" s="38" t="n"/>
      <c r="H309" s="35" t="n"/>
      <c r="I309" s="50" t="n"/>
      <c r="J309" s="35" t="n"/>
      <c r="K309" s="35" t="n"/>
    </row>
  </sheetData>
  <dataValidations count="2">
    <dataValidation sqref="C5:C2000" showDropDown="0" showInputMessage="0" showErrorMessage="1" allowBlank="1" errorTitle="Not found" error="Pick an existing code from the list." type="list">
      <formula1>=lstProducts</formula1>
    </dataValidation>
    <dataValidation sqref="B5:B2000" showDropDown="0" showInputMessage="0" showErrorMessage="1" allowBlank="1" error="Enter a valid date" type="date" operator="greaterThan">
      <formula1>36526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K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42" customWidth="1" min="4" max="4"/>
    <col width="10" customWidth="1" min="5" max="5"/>
    <col width="14" customWidth="1" min="6" max="6"/>
    <col width="16" customWidth="1" min="7" max="7"/>
    <col width="4" customWidth="1" min="8" max="8"/>
    <col width="8" customWidth="1" min="9" max="9"/>
    <col width="6" customWidth="1" min="10" max="10"/>
    <col width="14" customWidth="1" min="11" max="11"/>
  </cols>
  <sheetData>
    <row r="1">
      <c r="A1" s="1" t="inlineStr">
        <is>
          <t>SALES INVOICE</t>
        </is>
      </c>
    </row>
    <row r="2">
      <c r="A2" s="4" t="inlineStr">
        <is>
          <t>Pick an Order Number in the yellow cell: the invoice lists every product on that order. Print: File &gt; Export &gt; Create PDF (print area A1:G40, A4).</t>
        </is>
      </c>
    </row>
    <row r="4" ht="22" customHeight="1">
      <c r="A4" s="7" t="inlineStr">
        <is>
          <t>Seller:</t>
        </is>
      </c>
      <c r="B4" s="51" t="inlineStr">
        <is>
          <t>Happy Hatch</t>
        </is>
      </c>
      <c r="F4" s="2" t="inlineStr">
        <is>
          <t>LOGO
(insert logo here)</t>
        </is>
      </c>
      <c r="G4" s="3" t="n"/>
    </row>
    <row r="5" ht="22" customHeight="1">
      <c r="B5" s="51" t="inlineStr">
        <is>
          <t>Your address / GSTIN / phone</t>
        </is>
      </c>
      <c r="F5" s="5" t="n"/>
      <c r="G5" s="6" t="n"/>
    </row>
    <row r="7">
      <c r="A7" s="7" t="inlineStr">
        <is>
          <t>Order Number</t>
        </is>
      </c>
      <c r="C7" s="51" t="inlineStr">
        <is>
          <t>HH_S000105</t>
        </is>
      </c>
      <c r="D7" s="52" t="inlineStr">
        <is>
          <t>Invoice No.</t>
        </is>
      </c>
      <c r="F7" s="47">
        <f>IF($I$16="","","INV-"&amp;$C$7)</f>
        <v/>
      </c>
    </row>
    <row r="8">
      <c r="D8" s="52" t="inlineStr">
        <is>
          <t>Invoice date</t>
        </is>
      </c>
      <c r="F8" s="53">
        <f>IF($I$16="","",INDEX(SALES!$B$5:$B$2000,$I$16))</f>
        <v/>
      </c>
    </row>
    <row r="9">
      <c r="D9" s="52" t="inlineStr">
        <is>
          <t>Customer No.</t>
        </is>
      </c>
      <c r="F9" s="47">
        <f>IF($I$16="","",INDEX(SALES!$C$5:$C$2000,$I$16))</f>
        <v/>
      </c>
    </row>
    <row r="10">
      <c r="A10" s="7" t="inlineStr">
        <is>
          <t>Bill to:</t>
        </is>
      </c>
      <c r="B10" s="7">
        <f>IFERROR(INDEX(CUSTOMERS!$B$5:$B$2000,MATCH($F$9,CUSTOMERS!$A$5:$A$2000,0)),"")</f>
        <v/>
      </c>
    </row>
    <row r="11">
      <c r="B11" s="47">
        <f>IFERROR(INDEX(CUSTOMERS!$F$5:$F$2000,MATCH($F$9,CUSTOMERS!$A$5:$A$2000,0)),"")</f>
        <v/>
      </c>
    </row>
    <row r="12">
      <c r="B12" s="47">
        <f>IFERROR(INDEX(CUSTOMERS!$G$5:$G$2000,MATCH($F$9,CUSTOMERS!$A$5:$A$2000,0)),"")</f>
        <v/>
      </c>
    </row>
    <row r="13">
      <c r="B13" s="47">
        <f>IFERROR("Phone: "&amp;INDEX(CUSTOMERS!$D$5:$D2000,MATCH($F$9,CUSTOMERS!$A$5:$A2000,0)),"")</f>
        <v/>
      </c>
    </row>
    <row r="15">
      <c r="A15" s="54" t="inlineStr">
        <is>
          <t>S.No</t>
        </is>
      </c>
      <c r="B15" s="54" t="inlineStr">
        <is>
          <t>Order No.</t>
        </is>
      </c>
      <c r="C15" s="54" t="inlineStr">
        <is>
          <t>Product Code</t>
        </is>
      </c>
      <c r="D15" s="54" t="inlineStr">
        <is>
          <t>Product Name</t>
        </is>
      </c>
      <c r="E15" s="54" t="inlineStr">
        <is>
          <t>Qty</t>
        </is>
      </c>
      <c r="F15" s="54" t="inlineStr">
        <is>
          <t>MRP</t>
        </is>
      </c>
      <c r="G15" s="54" t="inlineStr">
        <is>
          <t>Amount</t>
        </is>
      </c>
      <c r="I15" s="18" t="inlineStr">
        <is>
          <t>helper</t>
        </is>
      </c>
      <c r="J15" s="18" t="inlineStr">
        <is>
          <t>row</t>
        </is>
      </c>
      <c r="K15" s="18" t="inlineStr">
        <is>
          <t>orders list (helper)</t>
        </is>
      </c>
    </row>
    <row r="16">
      <c r="A16" s="16">
        <f>IF($I16="","",1)</f>
        <v/>
      </c>
      <c r="B16" s="16">
        <f>IF($I16="","",INDEX(SALES!$A$5:$A$2000,$I16))</f>
        <v/>
      </c>
      <c r="C16" s="16">
        <f>IF($I16="","",INDEX(SALES!$D$5:$D$2000,$I16))</f>
        <v/>
      </c>
      <c r="D16" s="16">
        <f>IF($I16="","",INDEX(SALES!$E$5:$E$2000,$I16))</f>
        <v/>
      </c>
      <c r="E16" s="20">
        <f>IF($I16="","",INDEX(SALES!$H$5:$H$2000,$I16))</f>
        <v/>
      </c>
      <c r="F16" s="42">
        <f>IF($I16="","",INDEX(SALES!$G$5:$G$2000,$I16))</f>
        <v/>
      </c>
      <c r="G16" s="42">
        <f>IF($I16="","",INDEX(SALES!$I$5:$I$2000,$I16))</f>
        <v/>
      </c>
      <c r="I16" s="18">
        <f>IFERROR(IF(SUMPRODUCT(SMALL(((SALES!$A$5:$A$2000=$C$7)*(SALES!$A$5:$A$2000&lt;&gt;""))*(ROW(SALES!$A$5:$A$2000)-4)+(1-((SALES!$A$5:$A$2000=$C$7)*(SALES!$A$5:$A$2000&lt;&gt;"")))*1000000,1))&gt;=1000000,"",SUMPRODUCT(SMALL(((SALES!$A$5:$A$2000=$C$7)*(SALES!$A$5:$A$2000&lt;&gt;""))*(ROW(SALES!$A$5:$A$2000)-4)+(1-((SALES!$A$5:$A$2000=$C$7)*(SALES!$A$5:$A$2000&lt;&gt;"")))*1000000,1))),"")</f>
        <v/>
      </c>
      <c r="J16" s="18">
        <f>IFERROR(IF(SUMPRODUCT(SMALL(((SALES!$A$5:$A$2000&lt;&gt;"")*(COUNTIF($K$15:$K15,SALES!$A$5:$A$2000)=0))*(ROW(SALES!$A$5:$A$2000)-4)+(1-((SALES!$A$5:$A$2000&lt;&gt;"")*(COUNTIF($K$15:$K15,SALES!$A$5:$A$2000)=0)))*1000000,1))&gt;=1000000,"",SUMPRODUCT(SMALL(((SALES!$A$5:$A$2000&lt;&gt;"")*(COUNTIF($K$15:$K15,SALES!$A$5:$A$2000)=0))*(ROW(SALES!$A$5:$A$2000)-4)+(1-((SALES!$A$5:$A$2000&lt;&gt;"")*(COUNTIF($K$15:$K15,SALES!$A$5:$A$2000)=0)))*1000000,1))),"")</f>
        <v/>
      </c>
      <c r="K16" s="18">
        <f>IF($J16="","",INDEX(SALES!$A$5:$A$2000,$J16))</f>
        <v/>
      </c>
    </row>
    <row r="17">
      <c r="A17" s="16">
        <f>IF($I17="","",2)</f>
        <v/>
      </c>
      <c r="B17" s="16">
        <f>IF($I17="","",INDEX(SALES!$A$5:$A$2000,$I17))</f>
        <v/>
      </c>
      <c r="C17" s="16">
        <f>IF($I17="","",INDEX(SALES!$D$5:$D$2000,$I17))</f>
        <v/>
      </c>
      <c r="D17" s="16">
        <f>IF($I17="","",INDEX(SALES!$E$5:$E$2000,$I17))</f>
        <v/>
      </c>
      <c r="E17" s="20">
        <f>IF($I17="","",INDEX(SALES!$H$5:$H$2000,$I17))</f>
        <v/>
      </c>
      <c r="F17" s="42">
        <f>IF($I17="","",INDEX(SALES!$G$5:$G$2000,$I17))</f>
        <v/>
      </c>
      <c r="G17" s="42">
        <f>IF($I17="","",INDEX(SALES!$I$5:$I$2000,$I17))</f>
        <v/>
      </c>
      <c r="I17" s="18">
        <f>IFERROR(IF(SUMPRODUCT(SMALL(((SALES!$A$5:$A$2000=$C$7)*(SALES!$A$5:$A$2000&lt;&gt;""))*(ROW(SALES!$A$5:$A$2000)-4)+(1-((SALES!$A$5:$A$2000=$C$7)*(SALES!$A$5:$A$2000&lt;&gt;"")))*1000000,2))&gt;=1000000,"",SUMPRODUCT(SMALL(((SALES!$A$5:$A$2000=$C$7)*(SALES!$A$5:$A$2000&lt;&gt;""))*(ROW(SALES!$A$5:$A$2000)-4)+(1-((SALES!$A$5:$A$2000=$C$7)*(SALES!$A$5:$A$2000&lt;&gt;"")))*1000000,2))),"")</f>
        <v/>
      </c>
      <c r="J17" s="18">
        <f>IFERROR(IF(SUMPRODUCT(SMALL(((SALES!$A$5:$A$2000&lt;&gt;"")*(COUNTIF($K$15:$K16,SALES!$A$5:$A$2000)=0))*(ROW(SALES!$A$5:$A$2000)-4)+(1-((SALES!$A$5:$A$2000&lt;&gt;"")*(COUNTIF($K$15:$K16,SALES!$A$5:$A$2000)=0)))*1000000,1))&gt;=1000000,"",SUMPRODUCT(SMALL(((SALES!$A$5:$A$2000&lt;&gt;"")*(COUNTIF($K$15:$K16,SALES!$A$5:$A$2000)=0))*(ROW(SALES!$A$5:$A$2000)-4)+(1-((SALES!$A$5:$A$2000&lt;&gt;"")*(COUNTIF($K$15:$K16,SALES!$A$5:$A$2000)=0)))*1000000,1))),"")</f>
        <v/>
      </c>
      <c r="K17" s="18">
        <f>IF($J17="","",INDEX(SALES!$A$5:$A$2000,$J17))</f>
        <v/>
      </c>
    </row>
    <row r="18">
      <c r="A18" s="16">
        <f>IF($I18="","",3)</f>
        <v/>
      </c>
      <c r="B18" s="16">
        <f>IF($I18="","",INDEX(SALES!$A$5:$A$2000,$I18))</f>
        <v/>
      </c>
      <c r="C18" s="16">
        <f>IF($I18="","",INDEX(SALES!$D$5:$D$2000,$I18))</f>
        <v/>
      </c>
      <c r="D18" s="16">
        <f>IF($I18="","",INDEX(SALES!$E$5:$E$2000,$I18))</f>
        <v/>
      </c>
      <c r="E18" s="20">
        <f>IF($I18="","",INDEX(SALES!$H$5:$H$2000,$I18))</f>
        <v/>
      </c>
      <c r="F18" s="42">
        <f>IF($I18="","",INDEX(SALES!$G$5:$G$2000,$I18))</f>
        <v/>
      </c>
      <c r="G18" s="42">
        <f>IF($I18="","",INDEX(SALES!$I$5:$I$2000,$I18))</f>
        <v/>
      </c>
      <c r="I18" s="18">
        <f>IFERROR(IF(SUMPRODUCT(SMALL(((SALES!$A$5:$A$2000=$C$7)*(SALES!$A$5:$A$2000&lt;&gt;""))*(ROW(SALES!$A$5:$A$2000)-4)+(1-((SALES!$A$5:$A$2000=$C$7)*(SALES!$A$5:$A$2000&lt;&gt;"")))*1000000,3))&gt;=1000000,"",SUMPRODUCT(SMALL(((SALES!$A$5:$A$2000=$C$7)*(SALES!$A$5:$A$2000&lt;&gt;""))*(ROW(SALES!$A$5:$A$2000)-4)+(1-((SALES!$A$5:$A$2000=$C$7)*(SALES!$A$5:$A$2000&lt;&gt;"")))*1000000,3))),"")</f>
        <v/>
      </c>
      <c r="J18" s="18">
        <f>IFERROR(IF(SUMPRODUCT(SMALL(((SALES!$A$5:$A$2000&lt;&gt;"")*(COUNTIF($K$15:$K17,SALES!$A$5:$A$2000)=0))*(ROW(SALES!$A$5:$A$2000)-4)+(1-((SALES!$A$5:$A$2000&lt;&gt;"")*(COUNTIF($K$15:$K17,SALES!$A$5:$A$2000)=0)))*1000000,1))&gt;=1000000,"",SUMPRODUCT(SMALL(((SALES!$A$5:$A$2000&lt;&gt;"")*(COUNTIF($K$15:$K17,SALES!$A$5:$A$2000)=0))*(ROW(SALES!$A$5:$A$2000)-4)+(1-((SALES!$A$5:$A$2000&lt;&gt;"")*(COUNTIF($K$15:$K17,SALES!$A$5:$A$2000)=0)))*1000000,1))),"")</f>
        <v/>
      </c>
      <c r="K18" s="18">
        <f>IF($J18="","",INDEX(SALES!$A$5:$A$2000,$J18))</f>
        <v/>
      </c>
    </row>
    <row r="19">
      <c r="A19" s="16">
        <f>IF($I19="","",4)</f>
        <v/>
      </c>
      <c r="B19" s="16">
        <f>IF($I19="","",INDEX(SALES!$A$5:$A$2000,$I19))</f>
        <v/>
      </c>
      <c r="C19" s="16">
        <f>IF($I19="","",INDEX(SALES!$D$5:$D$2000,$I19))</f>
        <v/>
      </c>
      <c r="D19" s="16">
        <f>IF($I19="","",INDEX(SALES!$E$5:$E$2000,$I19))</f>
        <v/>
      </c>
      <c r="E19" s="20">
        <f>IF($I19="","",INDEX(SALES!$H$5:$H$2000,$I19))</f>
        <v/>
      </c>
      <c r="F19" s="42">
        <f>IF($I19="","",INDEX(SALES!$G$5:$G$2000,$I19))</f>
        <v/>
      </c>
      <c r="G19" s="42">
        <f>IF($I19="","",INDEX(SALES!$I$5:$I$2000,$I19))</f>
        <v/>
      </c>
      <c r="I19" s="18">
        <f>IFERROR(IF(SUMPRODUCT(SMALL(((SALES!$A$5:$A$2000=$C$7)*(SALES!$A$5:$A$2000&lt;&gt;""))*(ROW(SALES!$A$5:$A$2000)-4)+(1-((SALES!$A$5:$A$2000=$C$7)*(SALES!$A$5:$A$2000&lt;&gt;"")))*1000000,4))&gt;=1000000,"",SUMPRODUCT(SMALL(((SALES!$A$5:$A$2000=$C$7)*(SALES!$A$5:$A$2000&lt;&gt;""))*(ROW(SALES!$A$5:$A$2000)-4)+(1-((SALES!$A$5:$A$2000=$C$7)*(SALES!$A$5:$A$2000&lt;&gt;"")))*1000000,4))),"")</f>
        <v/>
      </c>
      <c r="J19" s="18">
        <f>IFERROR(IF(SUMPRODUCT(SMALL(((SALES!$A$5:$A$2000&lt;&gt;"")*(COUNTIF($K$15:$K18,SALES!$A$5:$A$2000)=0))*(ROW(SALES!$A$5:$A$2000)-4)+(1-((SALES!$A$5:$A$2000&lt;&gt;"")*(COUNTIF($K$15:$K18,SALES!$A$5:$A$2000)=0)))*1000000,1))&gt;=1000000,"",SUMPRODUCT(SMALL(((SALES!$A$5:$A$2000&lt;&gt;"")*(COUNTIF($K$15:$K18,SALES!$A$5:$A$2000)=0))*(ROW(SALES!$A$5:$A$2000)-4)+(1-((SALES!$A$5:$A$2000&lt;&gt;"")*(COUNTIF($K$15:$K18,SALES!$A$5:$A$2000)=0)))*1000000,1))),"")</f>
        <v/>
      </c>
      <c r="K19" s="18">
        <f>IF($J19="","",INDEX(SALES!$A$5:$A$2000,$J19))</f>
        <v/>
      </c>
    </row>
    <row r="20">
      <c r="A20" s="16">
        <f>IF($I20="","",5)</f>
        <v/>
      </c>
      <c r="B20" s="16">
        <f>IF($I20="","",INDEX(SALES!$A$5:$A$2000,$I20))</f>
        <v/>
      </c>
      <c r="C20" s="16">
        <f>IF($I20="","",INDEX(SALES!$D$5:$D$2000,$I20))</f>
        <v/>
      </c>
      <c r="D20" s="16">
        <f>IF($I20="","",INDEX(SALES!$E$5:$E$2000,$I20))</f>
        <v/>
      </c>
      <c r="E20" s="20">
        <f>IF($I20="","",INDEX(SALES!$H$5:$H$2000,$I20))</f>
        <v/>
      </c>
      <c r="F20" s="42">
        <f>IF($I20="","",INDEX(SALES!$G$5:$G$2000,$I20))</f>
        <v/>
      </c>
      <c r="G20" s="42">
        <f>IF($I20="","",INDEX(SALES!$I$5:$I$2000,$I20))</f>
        <v/>
      </c>
      <c r="I20" s="18">
        <f>IFERROR(IF(SUMPRODUCT(SMALL(((SALES!$A$5:$A$2000=$C$7)*(SALES!$A$5:$A$2000&lt;&gt;""))*(ROW(SALES!$A$5:$A$2000)-4)+(1-((SALES!$A$5:$A$2000=$C$7)*(SALES!$A$5:$A$2000&lt;&gt;"")))*1000000,5))&gt;=1000000,"",SUMPRODUCT(SMALL(((SALES!$A$5:$A$2000=$C$7)*(SALES!$A$5:$A$2000&lt;&gt;""))*(ROW(SALES!$A$5:$A$2000)-4)+(1-((SALES!$A$5:$A$2000=$C$7)*(SALES!$A$5:$A$2000&lt;&gt;"")))*1000000,5))),"")</f>
        <v/>
      </c>
      <c r="J20" s="18">
        <f>IFERROR(IF(SUMPRODUCT(SMALL(((SALES!$A$5:$A$2000&lt;&gt;"")*(COUNTIF($K$15:$K19,SALES!$A$5:$A$2000)=0))*(ROW(SALES!$A$5:$A$2000)-4)+(1-((SALES!$A$5:$A$2000&lt;&gt;"")*(COUNTIF($K$15:$K19,SALES!$A$5:$A$2000)=0)))*1000000,1))&gt;=1000000,"",SUMPRODUCT(SMALL(((SALES!$A$5:$A$2000&lt;&gt;"")*(COUNTIF($K$15:$K19,SALES!$A$5:$A$2000)=0))*(ROW(SALES!$A$5:$A$2000)-4)+(1-((SALES!$A$5:$A$2000&lt;&gt;"")*(COUNTIF($K$15:$K19,SALES!$A$5:$A$2000)=0)))*1000000,1))),"")</f>
        <v/>
      </c>
      <c r="K20" s="18">
        <f>IF($J20="","",INDEX(SALES!$A$5:$A$2000,$J20))</f>
        <v/>
      </c>
    </row>
    <row r="21">
      <c r="A21" s="16">
        <f>IF($I21="","",6)</f>
        <v/>
      </c>
      <c r="B21" s="16">
        <f>IF($I21="","",INDEX(SALES!$A$5:$A$2000,$I21))</f>
        <v/>
      </c>
      <c r="C21" s="16">
        <f>IF($I21="","",INDEX(SALES!$D$5:$D$2000,$I21))</f>
        <v/>
      </c>
      <c r="D21" s="16">
        <f>IF($I21="","",INDEX(SALES!$E$5:$E$2000,$I21))</f>
        <v/>
      </c>
      <c r="E21" s="20">
        <f>IF($I21="","",INDEX(SALES!$H$5:$H$2000,$I21))</f>
        <v/>
      </c>
      <c r="F21" s="42">
        <f>IF($I21="","",INDEX(SALES!$G$5:$G$2000,$I21))</f>
        <v/>
      </c>
      <c r="G21" s="42">
        <f>IF($I21="","",INDEX(SALES!$I$5:$I$2000,$I21))</f>
        <v/>
      </c>
      <c r="I21" s="18">
        <f>IFERROR(IF(SUMPRODUCT(SMALL(((SALES!$A$5:$A$2000=$C$7)*(SALES!$A$5:$A$2000&lt;&gt;""))*(ROW(SALES!$A$5:$A$2000)-4)+(1-((SALES!$A$5:$A$2000=$C$7)*(SALES!$A$5:$A$2000&lt;&gt;"")))*1000000,6))&gt;=1000000,"",SUMPRODUCT(SMALL(((SALES!$A$5:$A$2000=$C$7)*(SALES!$A$5:$A$2000&lt;&gt;""))*(ROW(SALES!$A$5:$A$2000)-4)+(1-((SALES!$A$5:$A$2000=$C$7)*(SALES!$A$5:$A$2000&lt;&gt;"")))*1000000,6))),"")</f>
        <v/>
      </c>
      <c r="J21" s="18">
        <f>IFERROR(IF(SUMPRODUCT(SMALL(((SALES!$A$5:$A$2000&lt;&gt;"")*(COUNTIF($K$15:$K20,SALES!$A$5:$A$2000)=0))*(ROW(SALES!$A$5:$A$2000)-4)+(1-((SALES!$A$5:$A$2000&lt;&gt;"")*(COUNTIF($K$15:$K20,SALES!$A$5:$A$2000)=0)))*1000000,1))&gt;=1000000,"",SUMPRODUCT(SMALL(((SALES!$A$5:$A$2000&lt;&gt;"")*(COUNTIF($K$15:$K20,SALES!$A$5:$A$2000)=0))*(ROW(SALES!$A$5:$A$2000)-4)+(1-((SALES!$A$5:$A$2000&lt;&gt;"")*(COUNTIF($K$15:$K20,SALES!$A$5:$A$2000)=0)))*1000000,1))),"")</f>
        <v/>
      </c>
      <c r="K21" s="18">
        <f>IF($J21="","",INDEX(SALES!$A$5:$A$2000,$J21))</f>
        <v/>
      </c>
    </row>
    <row r="22">
      <c r="A22" s="16">
        <f>IF($I22="","",7)</f>
        <v/>
      </c>
      <c r="B22" s="16">
        <f>IF($I22="","",INDEX(SALES!$A$5:$A$2000,$I22))</f>
        <v/>
      </c>
      <c r="C22" s="16">
        <f>IF($I22="","",INDEX(SALES!$D$5:$D$2000,$I22))</f>
        <v/>
      </c>
      <c r="D22" s="16">
        <f>IF($I22="","",INDEX(SALES!$E$5:$E$2000,$I22))</f>
        <v/>
      </c>
      <c r="E22" s="20">
        <f>IF($I22="","",INDEX(SALES!$H$5:$H$2000,$I22))</f>
        <v/>
      </c>
      <c r="F22" s="42">
        <f>IF($I22="","",INDEX(SALES!$G$5:$G$2000,$I22))</f>
        <v/>
      </c>
      <c r="G22" s="42">
        <f>IF($I22="","",INDEX(SALES!$I$5:$I$2000,$I22))</f>
        <v/>
      </c>
      <c r="I22" s="18">
        <f>IFERROR(IF(SUMPRODUCT(SMALL(((SALES!$A$5:$A$2000=$C$7)*(SALES!$A$5:$A$2000&lt;&gt;""))*(ROW(SALES!$A$5:$A$2000)-4)+(1-((SALES!$A$5:$A$2000=$C$7)*(SALES!$A$5:$A$2000&lt;&gt;"")))*1000000,7))&gt;=1000000,"",SUMPRODUCT(SMALL(((SALES!$A$5:$A$2000=$C$7)*(SALES!$A$5:$A$2000&lt;&gt;""))*(ROW(SALES!$A$5:$A$2000)-4)+(1-((SALES!$A$5:$A$2000=$C$7)*(SALES!$A$5:$A$2000&lt;&gt;"")))*1000000,7))),"")</f>
        <v/>
      </c>
      <c r="J22" s="18">
        <f>IFERROR(IF(SUMPRODUCT(SMALL(((SALES!$A$5:$A$2000&lt;&gt;"")*(COUNTIF($K$15:$K21,SALES!$A$5:$A$2000)=0))*(ROW(SALES!$A$5:$A$2000)-4)+(1-((SALES!$A$5:$A$2000&lt;&gt;"")*(COUNTIF($K$15:$K21,SALES!$A$5:$A$2000)=0)))*1000000,1))&gt;=1000000,"",SUMPRODUCT(SMALL(((SALES!$A$5:$A$2000&lt;&gt;"")*(COUNTIF($K$15:$K21,SALES!$A$5:$A$2000)=0))*(ROW(SALES!$A$5:$A$2000)-4)+(1-((SALES!$A$5:$A$2000&lt;&gt;"")*(COUNTIF($K$15:$K21,SALES!$A$5:$A$2000)=0)))*1000000,1))),"")</f>
        <v/>
      </c>
      <c r="K22" s="18">
        <f>IF($J22="","",INDEX(SALES!$A$5:$A$2000,$J22))</f>
        <v/>
      </c>
    </row>
    <row r="23">
      <c r="A23" s="16">
        <f>IF($I23="","",8)</f>
        <v/>
      </c>
      <c r="B23" s="16">
        <f>IF($I23="","",INDEX(SALES!$A$5:$A$2000,$I23))</f>
        <v/>
      </c>
      <c r="C23" s="16">
        <f>IF($I23="","",INDEX(SALES!$D$5:$D$2000,$I23))</f>
        <v/>
      </c>
      <c r="D23" s="16">
        <f>IF($I23="","",INDEX(SALES!$E$5:$E$2000,$I23))</f>
        <v/>
      </c>
      <c r="E23" s="20">
        <f>IF($I23="","",INDEX(SALES!$H$5:$H$2000,$I23))</f>
        <v/>
      </c>
      <c r="F23" s="42">
        <f>IF($I23="","",INDEX(SALES!$G$5:$G$2000,$I23))</f>
        <v/>
      </c>
      <c r="G23" s="42">
        <f>IF($I23="","",INDEX(SALES!$I$5:$I$2000,$I23))</f>
        <v/>
      </c>
      <c r="I23" s="18">
        <f>IFERROR(IF(SUMPRODUCT(SMALL(((SALES!$A$5:$A$2000=$C$7)*(SALES!$A$5:$A$2000&lt;&gt;""))*(ROW(SALES!$A$5:$A$2000)-4)+(1-((SALES!$A$5:$A$2000=$C$7)*(SALES!$A$5:$A$2000&lt;&gt;"")))*1000000,8))&gt;=1000000,"",SUMPRODUCT(SMALL(((SALES!$A$5:$A$2000=$C$7)*(SALES!$A$5:$A$2000&lt;&gt;""))*(ROW(SALES!$A$5:$A$2000)-4)+(1-((SALES!$A$5:$A$2000=$C$7)*(SALES!$A$5:$A$2000&lt;&gt;"")))*1000000,8))),"")</f>
        <v/>
      </c>
      <c r="J23" s="18">
        <f>IFERROR(IF(SUMPRODUCT(SMALL(((SALES!$A$5:$A$2000&lt;&gt;"")*(COUNTIF($K$15:$K22,SALES!$A$5:$A$2000)=0))*(ROW(SALES!$A$5:$A$2000)-4)+(1-((SALES!$A$5:$A$2000&lt;&gt;"")*(COUNTIF($K$15:$K22,SALES!$A$5:$A$2000)=0)))*1000000,1))&gt;=1000000,"",SUMPRODUCT(SMALL(((SALES!$A$5:$A$2000&lt;&gt;"")*(COUNTIF($K$15:$K22,SALES!$A$5:$A$2000)=0))*(ROW(SALES!$A$5:$A$2000)-4)+(1-((SALES!$A$5:$A$2000&lt;&gt;"")*(COUNTIF($K$15:$K22,SALES!$A$5:$A$2000)=0)))*1000000,1))),"")</f>
        <v/>
      </c>
      <c r="K23" s="18">
        <f>IF($J23="","",INDEX(SALES!$A$5:$A$2000,$J23))</f>
        <v/>
      </c>
    </row>
    <row r="24">
      <c r="A24" s="16">
        <f>IF($I24="","",9)</f>
        <v/>
      </c>
      <c r="B24" s="16">
        <f>IF($I24="","",INDEX(SALES!$A$5:$A$2000,$I24))</f>
        <v/>
      </c>
      <c r="C24" s="16">
        <f>IF($I24="","",INDEX(SALES!$D$5:$D$2000,$I24))</f>
        <v/>
      </c>
      <c r="D24" s="16">
        <f>IF($I24="","",INDEX(SALES!$E$5:$E$2000,$I24))</f>
        <v/>
      </c>
      <c r="E24" s="20">
        <f>IF($I24="","",INDEX(SALES!$H$5:$H$2000,$I24))</f>
        <v/>
      </c>
      <c r="F24" s="42">
        <f>IF($I24="","",INDEX(SALES!$G$5:$G$2000,$I24))</f>
        <v/>
      </c>
      <c r="G24" s="42">
        <f>IF($I24="","",INDEX(SALES!$I$5:$I$2000,$I24))</f>
        <v/>
      </c>
      <c r="I24" s="18">
        <f>IFERROR(IF(SUMPRODUCT(SMALL(((SALES!$A$5:$A$2000=$C$7)*(SALES!$A$5:$A$2000&lt;&gt;""))*(ROW(SALES!$A$5:$A$2000)-4)+(1-((SALES!$A$5:$A$2000=$C$7)*(SALES!$A$5:$A$2000&lt;&gt;"")))*1000000,9))&gt;=1000000,"",SUMPRODUCT(SMALL(((SALES!$A$5:$A$2000=$C$7)*(SALES!$A$5:$A$2000&lt;&gt;""))*(ROW(SALES!$A$5:$A$2000)-4)+(1-((SALES!$A$5:$A$2000=$C$7)*(SALES!$A$5:$A$2000&lt;&gt;"")))*1000000,9))),"")</f>
        <v/>
      </c>
      <c r="J24" s="18">
        <f>IFERROR(IF(SUMPRODUCT(SMALL(((SALES!$A$5:$A$2000&lt;&gt;"")*(COUNTIF($K$15:$K23,SALES!$A$5:$A$2000)=0))*(ROW(SALES!$A$5:$A$2000)-4)+(1-((SALES!$A$5:$A$2000&lt;&gt;"")*(COUNTIF($K$15:$K23,SALES!$A$5:$A$2000)=0)))*1000000,1))&gt;=1000000,"",SUMPRODUCT(SMALL(((SALES!$A$5:$A$2000&lt;&gt;"")*(COUNTIF($K$15:$K23,SALES!$A$5:$A$2000)=0))*(ROW(SALES!$A$5:$A$2000)-4)+(1-((SALES!$A$5:$A$2000&lt;&gt;"")*(COUNTIF($K$15:$K23,SALES!$A$5:$A$2000)=0)))*1000000,1))),"")</f>
        <v/>
      </c>
      <c r="K24" s="18">
        <f>IF($J24="","",INDEX(SALES!$A$5:$A$2000,$J24))</f>
        <v/>
      </c>
    </row>
    <row r="25">
      <c r="A25" s="16">
        <f>IF($I25="","",10)</f>
        <v/>
      </c>
      <c r="B25" s="16">
        <f>IF($I25="","",INDEX(SALES!$A$5:$A$2000,$I25))</f>
        <v/>
      </c>
      <c r="C25" s="16">
        <f>IF($I25="","",INDEX(SALES!$D$5:$D$2000,$I25))</f>
        <v/>
      </c>
      <c r="D25" s="16">
        <f>IF($I25="","",INDEX(SALES!$E$5:$E$2000,$I25))</f>
        <v/>
      </c>
      <c r="E25" s="20">
        <f>IF($I25="","",INDEX(SALES!$H$5:$H$2000,$I25))</f>
        <v/>
      </c>
      <c r="F25" s="42">
        <f>IF($I25="","",INDEX(SALES!$G$5:$G$2000,$I25))</f>
        <v/>
      </c>
      <c r="G25" s="42">
        <f>IF($I25="","",INDEX(SALES!$I$5:$I$2000,$I25))</f>
        <v/>
      </c>
      <c r="I25" s="18">
        <f>IFERROR(IF(SUMPRODUCT(SMALL(((SALES!$A$5:$A$2000=$C$7)*(SALES!$A$5:$A$2000&lt;&gt;""))*(ROW(SALES!$A$5:$A$2000)-4)+(1-((SALES!$A$5:$A$2000=$C$7)*(SALES!$A$5:$A$2000&lt;&gt;"")))*1000000,10))&gt;=1000000,"",SUMPRODUCT(SMALL(((SALES!$A$5:$A$2000=$C$7)*(SALES!$A$5:$A$2000&lt;&gt;""))*(ROW(SALES!$A$5:$A$2000)-4)+(1-((SALES!$A$5:$A$2000=$C$7)*(SALES!$A$5:$A$2000&lt;&gt;"")))*1000000,10))),"")</f>
        <v/>
      </c>
      <c r="J25" s="18">
        <f>IFERROR(IF(SUMPRODUCT(SMALL(((SALES!$A$5:$A$2000&lt;&gt;"")*(COUNTIF($K$15:$K24,SALES!$A$5:$A$2000)=0))*(ROW(SALES!$A$5:$A$2000)-4)+(1-((SALES!$A$5:$A$2000&lt;&gt;"")*(COUNTIF($K$15:$K24,SALES!$A$5:$A$2000)=0)))*1000000,1))&gt;=1000000,"",SUMPRODUCT(SMALL(((SALES!$A$5:$A$2000&lt;&gt;"")*(COUNTIF($K$15:$K24,SALES!$A$5:$A$2000)=0))*(ROW(SALES!$A$5:$A$2000)-4)+(1-((SALES!$A$5:$A$2000&lt;&gt;"")*(COUNTIF($K$15:$K24,SALES!$A$5:$A$2000)=0)))*1000000,1))),"")</f>
        <v/>
      </c>
      <c r="K25" s="18">
        <f>IF($J25="","",INDEX(SALES!$A$5:$A$2000,$J25))</f>
        <v/>
      </c>
    </row>
    <row r="26">
      <c r="A26" s="16">
        <f>IF($I26="","",11)</f>
        <v/>
      </c>
      <c r="B26" s="16">
        <f>IF($I26="","",INDEX(SALES!$A$5:$A$2000,$I26))</f>
        <v/>
      </c>
      <c r="C26" s="16">
        <f>IF($I26="","",INDEX(SALES!$D$5:$D$2000,$I26))</f>
        <v/>
      </c>
      <c r="D26" s="16">
        <f>IF($I26="","",INDEX(SALES!$E$5:$E$2000,$I26))</f>
        <v/>
      </c>
      <c r="E26" s="20">
        <f>IF($I26="","",INDEX(SALES!$H$5:$H$2000,$I26))</f>
        <v/>
      </c>
      <c r="F26" s="42">
        <f>IF($I26="","",INDEX(SALES!$G$5:$G$2000,$I26))</f>
        <v/>
      </c>
      <c r="G26" s="42">
        <f>IF($I26="","",INDEX(SALES!$I$5:$I$2000,$I26))</f>
        <v/>
      </c>
      <c r="I26" s="18">
        <f>IFERROR(IF(SUMPRODUCT(SMALL(((SALES!$A$5:$A$2000=$C$7)*(SALES!$A$5:$A$2000&lt;&gt;""))*(ROW(SALES!$A$5:$A$2000)-4)+(1-((SALES!$A$5:$A$2000=$C$7)*(SALES!$A$5:$A$2000&lt;&gt;"")))*1000000,11))&gt;=1000000,"",SUMPRODUCT(SMALL(((SALES!$A$5:$A$2000=$C$7)*(SALES!$A$5:$A$2000&lt;&gt;""))*(ROW(SALES!$A$5:$A$2000)-4)+(1-((SALES!$A$5:$A$2000=$C$7)*(SALES!$A$5:$A$2000&lt;&gt;"")))*1000000,11))),"")</f>
        <v/>
      </c>
      <c r="J26" s="18">
        <f>IFERROR(IF(SUMPRODUCT(SMALL(((SALES!$A$5:$A$2000&lt;&gt;"")*(COUNTIF($K$15:$K25,SALES!$A$5:$A$2000)=0))*(ROW(SALES!$A$5:$A$2000)-4)+(1-((SALES!$A$5:$A$2000&lt;&gt;"")*(COUNTIF($K$15:$K25,SALES!$A$5:$A$2000)=0)))*1000000,1))&gt;=1000000,"",SUMPRODUCT(SMALL(((SALES!$A$5:$A$2000&lt;&gt;"")*(COUNTIF($K$15:$K25,SALES!$A$5:$A$2000)=0))*(ROW(SALES!$A$5:$A$2000)-4)+(1-((SALES!$A$5:$A$2000&lt;&gt;"")*(COUNTIF($K$15:$K25,SALES!$A$5:$A$2000)=0)))*1000000,1))),"")</f>
        <v/>
      </c>
      <c r="K26" s="18">
        <f>IF($J26="","",INDEX(SALES!$A$5:$A$2000,$J26))</f>
        <v/>
      </c>
    </row>
    <row r="27">
      <c r="A27" s="16">
        <f>IF($I27="","",12)</f>
        <v/>
      </c>
      <c r="B27" s="16">
        <f>IF($I27="","",INDEX(SALES!$A$5:$A$2000,$I27))</f>
        <v/>
      </c>
      <c r="C27" s="16">
        <f>IF($I27="","",INDEX(SALES!$D$5:$D$2000,$I27))</f>
        <v/>
      </c>
      <c r="D27" s="16">
        <f>IF($I27="","",INDEX(SALES!$E$5:$E$2000,$I27))</f>
        <v/>
      </c>
      <c r="E27" s="20">
        <f>IF($I27="","",INDEX(SALES!$H$5:$H$2000,$I27))</f>
        <v/>
      </c>
      <c r="F27" s="42">
        <f>IF($I27="","",INDEX(SALES!$G$5:$G$2000,$I27))</f>
        <v/>
      </c>
      <c r="G27" s="42">
        <f>IF($I27="","",INDEX(SALES!$I$5:$I$2000,$I27))</f>
        <v/>
      </c>
      <c r="I27" s="18">
        <f>IFERROR(IF(SUMPRODUCT(SMALL(((SALES!$A$5:$A$2000=$C$7)*(SALES!$A$5:$A$2000&lt;&gt;""))*(ROW(SALES!$A$5:$A$2000)-4)+(1-((SALES!$A$5:$A$2000=$C$7)*(SALES!$A$5:$A$2000&lt;&gt;"")))*1000000,12))&gt;=1000000,"",SUMPRODUCT(SMALL(((SALES!$A$5:$A$2000=$C$7)*(SALES!$A$5:$A$2000&lt;&gt;""))*(ROW(SALES!$A$5:$A$2000)-4)+(1-((SALES!$A$5:$A$2000=$C$7)*(SALES!$A$5:$A$2000&lt;&gt;"")))*1000000,12))),"")</f>
        <v/>
      </c>
      <c r="J27" s="18">
        <f>IFERROR(IF(SUMPRODUCT(SMALL(((SALES!$A$5:$A$2000&lt;&gt;"")*(COUNTIF($K$15:$K26,SALES!$A$5:$A$2000)=0))*(ROW(SALES!$A$5:$A$2000)-4)+(1-((SALES!$A$5:$A$2000&lt;&gt;"")*(COUNTIF($K$15:$K26,SALES!$A$5:$A$2000)=0)))*1000000,1))&gt;=1000000,"",SUMPRODUCT(SMALL(((SALES!$A$5:$A$2000&lt;&gt;"")*(COUNTIF($K$15:$K26,SALES!$A$5:$A$2000)=0))*(ROW(SALES!$A$5:$A$2000)-4)+(1-((SALES!$A$5:$A$2000&lt;&gt;"")*(COUNTIF($K$15:$K26,SALES!$A$5:$A$2000)=0)))*1000000,1))),"")</f>
        <v/>
      </c>
      <c r="K27" s="18">
        <f>IF($J27="","",INDEX(SALES!$A$5:$A$2000,$J27))</f>
        <v/>
      </c>
    </row>
    <row r="28">
      <c r="A28" s="16">
        <f>IF($I28="","",13)</f>
        <v/>
      </c>
      <c r="B28" s="16">
        <f>IF($I28="","",INDEX(SALES!$A$5:$A$2000,$I28))</f>
        <v/>
      </c>
      <c r="C28" s="16">
        <f>IF($I28="","",INDEX(SALES!$D$5:$D$2000,$I28))</f>
        <v/>
      </c>
      <c r="D28" s="16">
        <f>IF($I28="","",INDEX(SALES!$E$5:$E$2000,$I28))</f>
        <v/>
      </c>
      <c r="E28" s="20">
        <f>IF($I28="","",INDEX(SALES!$H$5:$H$2000,$I28))</f>
        <v/>
      </c>
      <c r="F28" s="42">
        <f>IF($I28="","",INDEX(SALES!$G$5:$G$2000,$I28))</f>
        <v/>
      </c>
      <c r="G28" s="42">
        <f>IF($I28="","",INDEX(SALES!$I$5:$I$2000,$I28))</f>
        <v/>
      </c>
      <c r="I28" s="18">
        <f>IFERROR(IF(SUMPRODUCT(SMALL(((SALES!$A$5:$A$2000=$C$7)*(SALES!$A$5:$A$2000&lt;&gt;""))*(ROW(SALES!$A$5:$A$2000)-4)+(1-((SALES!$A$5:$A$2000=$C$7)*(SALES!$A$5:$A$2000&lt;&gt;"")))*1000000,13))&gt;=1000000,"",SUMPRODUCT(SMALL(((SALES!$A$5:$A$2000=$C$7)*(SALES!$A$5:$A$2000&lt;&gt;""))*(ROW(SALES!$A$5:$A$2000)-4)+(1-((SALES!$A$5:$A$2000=$C$7)*(SALES!$A$5:$A$2000&lt;&gt;"")))*1000000,13))),"")</f>
        <v/>
      </c>
      <c r="J28" s="18">
        <f>IFERROR(IF(SUMPRODUCT(SMALL(((SALES!$A$5:$A$2000&lt;&gt;"")*(COUNTIF($K$15:$K27,SALES!$A$5:$A$2000)=0))*(ROW(SALES!$A$5:$A$2000)-4)+(1-((SALES!$A$5:$A$2000&lt;&gt;"")*(COUNTIF($K$15:$K27,SALES!$A$5:$A$2000)=0)))*1000000,1))&gt;=1000000,"",SUMPRODUCT(SMALL(((SALES!$A$5:$A$2000&lt;&gt;"")*(COUNTIF($K$15:$K27,SALES!$A$5:$A$2000)=0))*(ROW(SALES!$A$5:$A$2000)-4)+(1-((SALES!$A$5:$A$2000&lt;&gt;"")*(COUNTIF($K$15:$K27,SALES!$A$5:$A$2000)=0)))*1000000,1))),"")</f>
        <v/>
      </c>
      <c r="K28" s="18">
        <f>IF($J28="","",INDEX(SALES!$A$5:$A$2000,$J28))</f>
        <v/>
      </c>
    </row>
    <row r="29">
      <c r="A29" s="16">
        <f>IF($I29="","",14)</f>
        <v/>
      </c>
      <c r="B29" s="16">
        <f>IF($I29="","",INDEX(SALES!$A$5:$A$2000,$I29))</f>
        <v/>
      </c>
      <c r="C29" s="16">
        <f>IF($I29="","",INDEX(SALES!$D$5:$D$2000,$I29))</f>
        <v/>
      </c>
      <c r="D29" s="16">
        <f>IF($I29="","",INDEX(SALES!$E$5:$E$2000,$I29))</f>
        <v/>
      </c>
      <c r="E29" s="20">
        <f>IF($I29="","",INDEX(SALES!$H$5:$H$2000,$I29))</f>
        <v/>
      </c>
      <c r="F29" s="42">
        <f>IF($I29="","",INDEX(SALES!$G$5:$G$2000,$I29))</f>
        <v/>
      </c>
      <c r="G29" s="42">
        <f>IF($I29="","",INDEX(SALES!$I$5:$I$2000,$I29))</f>
        <v/>
      </c>
      <c r="I29" s="18">
        <f>IFERROR(IF(SUMPRODUCT(SMALL(((SALES!$A$5:$A$2000=$C$7)*(SALES!$A$5:$A$2000&lt;&gt;""))*(ROW(SALES!$A$5:$A$2000)-4)+(1-((SALES!$A$5:$A$2000=$C$7)*(SALES!$A$5:$A$2000&lt;&gt;"")))*1000000,14))&gt;=1000000,"",SUMPRODUCT(SMALL(((SALES!$A$5:$A$2000=$C$7)*(SALES!$A$5:$A$2000&lt;&gt;""))*(ROW(SALES!$A$5:$A$2000)-4)+(1-((SALES!$A$5:$A$2000=$C$7)*(SALES!$A$5:$A$2000&lt;&gt;"")))*1000000,14))),"")</f>
        <v/>
      </c>
      <c r="J29" s="18">
        <f>IFERROR(IF(SUMPRODUCT(SMALL(((SALES!$A$5:$A$2000&lt;&gt;"")*(COUNTIF($K$15:$K28,SALES!$A$5:$A$2000)=0))*(ROW(SALES!$A$5:$A$2000)-4)+(1-((SALES!$A$5:$A$2000&lt;&gt;"")*(COUNTIF($K$15:$K28,SALES!$A$5:$A$2000)=0)))*1000000,1))&gt;=1000000,"",SUMPRODUCT(SMALL(((SALES!$A$5:$A$2000&lt;&gt;"")*(COUNTIF($K$15:$K28,SALES!$A$5:$A$2000)=0))*(ROW(SALES!$A$5:$A$2000)-4)+(1-((SALES!$A$5:$A$2000&lt;&gt;"")*(COUNTIF($K$15:$K28,SALES!$A$5:$A$2000)=0)))*1000000,1))),"")</f>
        <v/>
      </c>
      <c r="K29" s="18">
        <f>IF($J29="","",INDEX(SALES!$A$5:$A$2000,$J29))</f>
        <v/>
      </c>
    </row>
    <row r="30">
      <c r="A30" s="16">
        <f>IF($I30="","",15)</f>
        <v/>
      </c>
      <c r="B30" s="16">
        <f>IF($I30="","",INDEX(SALES!$A$5:$A$2000,$I30))</f>
        <v/>
      </c>
      <c r="C30" s="16">
        <f>IF($I30="","",INDEX(SALES!$D$5:$D$2000,$I30))</f>
        <v/>
      </c>
      <c r="D30" s="16">
        <f>IF($I30="","",INDEX(SALES!$E$5:$E$2000,$I30))</f>
        <v/>
      </c>
      <c r="E30" s="20">
        <f>IF($I30="","",INDEX(SALES!$H$5:$H$2000,$I30))</f>
        <v/>
      </c>
      <c r="F30" s="42">
        <f>IF($I30="","",INDEX(SALES!$G$5:$G$2000,$I30))</f>
        <v/>
      </c>
      <c r="G30" s="42">
        <f>IF($I30="","",INDEX(SALES!$I$5:$I$2000,$I30))</f>
        <v/>
      </c>
      <c r="I30" s="18">
        <f>IFERROR(IF(SUMPRODUCT(SMALL(((SALES!$A$5:$A$2000=$C$7)*(SALES!$A$5:$A$2000&lt;&gt;""))*(ROW(SALES!$A$5:$A$2000)-4)+(1-((SALES!$A$5:$A$2000=$C$7)*(SALES!$A$5:$A$2000&lt;&gt;"")))*1000000,15))&gt;=1000000,"",SUMPRODUCT(SMALL(((SALES!$A$5:$A$2000=$C$7)*(SALES!$A$5:$A$2000&lt;&gt;""))*(ROW(SALES!$A$5:$A$2000)-4)+(1-((SALES!$A$5:$A$2000=$C$7)*(SALES!$A$5:$A$2000&lt;&gt;"")))*1000000,15))),"")</f>
        <v/>
      </c>
      <c r="J30" s="18">
        <f>IFERROR(IF(SUMPRODUCT(SMALL(((SALES!$A$5:$A$2000&lt;&gt;"")*(COUNTIF($K$15:$K29,SALES!$A$5:$A$2000)=0))*(ROW(SALES!$A$5:$A$2000)-4)+(1-((SALES!$A$5:$A$2000&lt;&gt;"")*(COUNTIF($K$15:$K29,SALES!$A$5:$A$2000)=0)))*1000000,1))&gt;=1000000,"",SUMPRODUCT(SMALL(((SALES!$A$5:$A$2000&lt;&gt;"")*(COUNTIF($K$15:$K29,SALES!$A$5:$A$2000)=0))*(ROW(SALES!$A$5:$A$2000)-4)+(1-((SALES!$A$5:$A$2000&lt;&gt;"")*(COUNTIF($K$15:$K29,SALES!$A$5:$A$2000)=0)))*1000000,1))),"")</f>
        <v/>
      </c>
      <c r="K30" s="18">
        <f>IF($J30="","",INDEX(SALES!$A$5:$A$2000,$J30))</f>
        <v/>
      </c>
    </row>
    <row r="31">
      <c r="J31" s="18">
        <f>IFERROR(IF(SUMPRODUCT(SMALL(((SALES!$A$5:$A$2000&lt;&gt;"")*(COUNTIF($K$15:$K30,SALES!$A$5:$A$2000)=0))*(ROW(SALES!$A$5:$A$2000)-4)+(1-((SALES!$A$5:$A$2000&lt;&gt;"")*(COUNTIF($K$15:$K30,SALES!$A$5:$A$2000)=0)))*1000000,1))&gt;=1000000,"",SUMPRODUCT(SMALL(((SALES!$A$5:$A$2000&lt;&gt;"")*(COUNTIF($K$15:$K30,SALES!$A$5:$A$2000)=0))*(ROW(SALES!$A$5:$A$2000)-4)+(1-((SALES!$A$5:$A$2000&lt;&gt;"")*(COUNTIF($K$15:$K30,SALES!$A$5:$A$2000)=0)))*1000000,1))),"")</f>
        <v/>
      </c>
      <c r="K31" s="18">
        <f>IF($J31="","",INDEX(SALES!$A$5:$A$2000,$J31))</f>
        <v/>
      </c>
    </row>
    <row r="32">
      <c r="F32" s="7" t="inlineStr">
        <is>
          <t>Subtotal</t>
        </is>
      </c>
      <c r="G32" s="38">
        <f>SUM(G16:G30)</f>
        <v/>
      </c>
      <c r="J32" s="18">
        <f>IFERROR(IF(SUMPRODUCT(SMALL(((SALES!$A$5:$A$2000&lt;&gt;"")*(COUNTIF($K$15:$K31,SALES!$A$5:$A$2000)=0))*(ROW(SALES!$A$5:$A$2000)-4)+(1-((SALES!$A$5:$A$2000&lt;&gt;"")*(COUNTIF($K$15:$K31,SALES!$A$5:$A$2000)=0)))*1000000,1))&gt;=1000000,"",SUMPRODUCT(SMALL(((SALES!$A$5:$A$2000&lt;&gt;"")*(COUNTIF($K$15:$K31,SALES!$A$5:$A$2000)=0))*(ROW(SALES!$A$5:$A$2000)-4)+(1-((SALES!$A$5:$A$2000&lt;&gt;"")*(COUNTIF($K$15:$K31,SALES!$A$5:$A$2000)=0)))*1000000,1))),"")</f>
        <v/>
      </c>
      <c r="K32" s="18">
        <f>IF($J32="","",INDEX(SALES!$A$5:$A$2000,$J32))</f>
        <v/>
      </c>
    </row>
    <row r="33">
      <c r="F33" s="7">
        <f>"GST ("&amp;ROUND(IF($I$16="",0,INDEX(SALES!$J$5:$J$2000,$I$16))*100,2)&amp;"%)"</f>
        <v/>
      </c>
      <c r="G33" s="38">
        <f>$G$32*IF($I$16="",0,INDEX(SALES!$J$5:$J$2000,$I$16))</f>
        <v/>
      </c>
      <c r="J33" s="18">
        <f>IFERROR(IF(SUMPRODUCT(SMALL(((SALES!$A$5:$A$2000&lt;&gt;"")*(COUNTIF($K$15:$K32,SALES!$A$5:$A$2000)=0))*(ROW(SALES!$A$5:$A$2000)-4)+(1-((SALES!$A$5:$A$2000&lt;&gt;"")*(COUNTIF($K$15:$K32,SALES!$A$5:$A$2000)=0)))*1000000,1))&gt;=1000000,"",SUMPRODUCT(SMALL(((SALES!$A$5:$A$2000&lt;&gt;"")*(COUNTIF($K$15:$K32,SALES!$A$5:$A$2000)=0))*(ROW(SALES!$A$5:$A$2000)-4)+(1-((SALES!$A$5:$A$2000&lt;&gt;"")*(COUNTIF($K$15:$K32,SALES!$A$5:$A$2000)=0)))*1000000,1))),"")</f>
        <v/>
      </c>
      <c r="K33" s="18">
        <f>IF($J33="","",INDEX(SALES!$A$5:$A$2000,$J33))</f>
        <v/>
      </c>
    </row>
    <row r="34">
      <c r="F34" s="7">
        <f>"CGST ("&amp;ROUND(IF($I$16="",0,INDEX(SALES!$K$5:$K$2000,$I$16))*100,2)&amp;"%)"</f>
        <v/>
      </c>
      <c r="G34" s="38">
        <f>$G$32*IF($I$16="",0,INDEX(SALES!$K$5:$K$2000,$I$16))</f>
        <v/>
      </c>
      <c r="J34" s="18">
        <f>IFERROR(IF(SUMPRODUCT(SMALL(((SALES!$A$5:$A$2000&lt;&gt;"")*(COUNTIF($K$15:$K33,SALES!$A$5:$A$2000)=0))*(ROW(SALES!$A$5:$A$2000)-4)+(1-((SALES!$A$5:$A$2000&lt;&gt;"")*(COUNTIF($K$15:$K33,SALES!$A$5:$A$2000)=0)))*1000000,1))&gt;=1000000,"",SUMPRODUCT(SMALL(((SALES!$A$5:$A$2000&lt;&gt;"")*(COUNTIF($K$15:$K33,SALES!$A$5:$A$2000)=0))*(ROW(SALES!$A$5:$A$2000)-4)+(1-((SALES!$A$5:$A$2000&lt;&gt;"")*(COUNTIF($K$15:$K33,SALES!$A$5:$A$2000)=0)))*1000000,1))),"")</f>
        <v/>
      </c>
      <c r="K34" s="18">
        <f>IF($J34="","",INDEX(SALES!$A$5:$A$2000,$J34))</f>
        <v/>
      </c>
    </row>
    <row r="35">
      <c r="F35" s="7">
        <f>"SGST ("&amp;ROUND(IF($I$16="",0,INDEX(SALES!$L$5:$L$2000,$I$16))*100,2)&amp;"%)"</f>
        <v/>
      </c>
      <c r="G35" s="38">
        <f>$G$32*IF($I$16="",0,INDEX(SALES!$L$5:$L$2000,$I$16))</f>
        <v/>
      </c>
      <c r="J35" s="18">
        <f>IFERROR(IF(SUMPRODUCT(SMALL(((SALES!$A$5:$A$2000&lt;&gt;"")*(COUNTIF($K$15:$K34,SALES!$A$5:$A$2000)=0))*(ROW(SALES!$A$5:$A$2000)-4)+(1-((SALES!$A$5:$A$2000&lt;&gt;"")*(COUNTIF($K$15:$K34,SALES!$A$5:$A$2000)=0)))*1000000,1))&gt;=1000000,"",SUMPRODUCT(SMALL(((SALES!$A$5:$A$2000&lt;&gt;"")*(COUNTIF($K$15:$K34,SALES!$A$5:$A$2000)=0))*(ROW(SALES!$A$5:$A$2000)-4)+(1-((SALES!$A$5:$A$2000&lt;&gt;"")*(COUNTIF($K$15:$K34,SALES!$A$5:$A$2000)=0)))*1000000,1))),"")</f>
        <v/>
      </c>
      <c r="K35" s="18">
        <f>IF($J35="","",INDEX(SALES!$A$5:$A$2000,$J35))</f>
        <v/>
      </c>
    </row>
    <row r="36">
      <c r="F36" s="7">
        <f>"IGST ("&amp;ROUND(IF($I$16="",0,INDEX(SALES!$M$5:$M$2000,$I$16))*100,2)&amp;"%)"</f>
        <v/>
      </c>
      <c r="G36" s="38">
        <f>$G$32*IF($I$16="",0,INDEX(SALES!$M$5:$M$2000,$I$16))</f>
        <v/>
      </c>
      <c r="J36" s="18">
        <f>IFERROR(IF(SUMPRODUCT(SMALL(((SALES!$A$5:$A$2000&lt;&gt;"")*(COUNTIF($K$15:$K35,SALES!$A$5:$A$2000)=0))*(ROW(SALES!$A$5:$A$2000)-4)+(1-((SALES!$A$5:$A$2000&lt;&gt;"")*(COUNTIF($K$15:$K35,SALES!$A$5:$A$2000)=0)))*1000000,1))&gt;=1000000,"",SUMPRODUCT(SMALL(((SALES!$A$5:$A$2000&lt;&gt;"")*(COUNTIF($K$15:$K35,SALES!$A$5:$A$2000)=0))*(ROW(SALES!$A$5:$A$2000)-4)+(1-((SALES!$A$5:$A$2000&lt;&gt;"")*(COUNTIF($K$15:$K35,SALES!$A$5:$A$2000)=0)))*1000000,1))),"")</f>
        <v/>
      </c>
      <c r="K36" s="18">
        <f>IF($J36="","",INDEX(SALES!$A$5:$A$2000,$J36))</f>
        <v/>
      </c>
    </row>
    <row r="37">
      <c r="F37" s="14" t="inlineStr">
        <is>
          <t>TOTAL</t>
        </is>
      </c>
      <c r="G37" s="55">
        <f>G32+G33+G34+G35+G36</f>
        <v/>
      </c>
      <c r="J37" s="18">
        <f>IFERROR(IF(SUMPRODUCT(SMALL(((SALES!$A$5:$A$2000&lt;&gt;"")*(COUNTIF($K$15:$K36,SALES!$A$5:$A$2000)=0))*(ROW(SALES!$A$5:$A$2000)-4)+(1-((SALES!$A$5:$A$2000&lt;&gt;"")*(COUNTIF($K$15:$K36,SALES!$A$5:$A$2000)=0)))*1000000,1))&gt;=1000000,"",SUMPRODUCT(SMALL(((SALES!$A$5:$A$2000&lt;&gt;"")*(COUNTIF($K$15:$K36,SALES!$A$5:$A$2000)=0))*(ROW(SALES!$A$5:$A$2000)-4)+(1-((SALES!$A$5:$A$2000&lt;&gt;"")*(COUNTIF($K$15:$K36,SALES!$A$5:$A$2000)=0)))*1000000,1))),"")</f>
        <v/>
      </c>
      <c r="K37" s="18">
        <f>IF($J37="","",INDEX(SALES!$A$5:$A$2000,$J37))</f>
        <v/>
      </c>
    </row>
    <row r="38">
      <c r="J38" s="18">
        <f>IFERROR(IF(SUMPRODUCT(SMALL(((SALES!$A$5:$A$2000&lt;&gt;"")*(COUNTIF($K$15:$K37,SALES!$A$5:$A$2000)=0))*(ROW(SALES!$A$5:$A$2000)-4)+(1-((SALES!$A$5:$A$2000&lt;&gt;"")*(COUNTIF($K$15:$K37,SALES!$A$5:$A$2000)=0)))*1000000,1))&gt;=1000000,"",SUMPRODUCT(SMALL(((SALES!$A$5:$A$2000&lt;&gt;"")*(COUNTIF($K$15:$K37,SALES!$A$5:$A$2000)=0))*(ROW(SALES!$A$5:$A$2000)-4)+(1-((SALES!$A$5:$A$2000&lt;&gt;"")*(COUNTIF($K$15:$K37,SALES!$A$5:$A$2000)=0)))*1000000,1))),"")</f>
        <v/>
      </c>
      <c r="K38" s="18">
        <f>IF($J38="","",INDEX(SALES!$A$5:$A$2000,$J38))</f>
        <v/>
      </c>
    </row>
    <row r="39">
      <c r="A39" s="4" t="inlineStr">
        <is>
          <t>Each label shows the rate from the GST / CGST / SGST / IGST (%) columns of the order's first Sales row; each amount = rate x Subtotal. Enter only the applicable taxes (e.g. CGST+SGST, or IGST) so nothing is counted twice.</t>
        </is>
      </c>
      <c r="J39" s="18">
        <f>IFERROR(IF(SUMPRODUCT(SMALL(((SALES!$A$5:$A$2000&lt;&gt;"")*(COUNTIF($K$15:$K38,SALES!$A$5:$A$2000)=0))*(ROW(SALES!$A$5:$A$2000)-4)+(1-((SALES!$A$5:$A$2000&lt;&gt;"")*(COUNTIF($K$15:$K38,SALES!$A$5:$A$2000)=0)))*1000000,1))&gt;=1000000,"",SUMPRODUCT(SMALL(((SALES!$A$5:$A$2000&lt;&gt;"")*(COUNTIF($K$15:$K38,SALES!$A$5:$A$2000)=0))*(ROW(SALES!$A$5:$A$2000)-4)+(1-((SALES!$A$5:$A$2000&lt;&gt;"")*(COUNTIF($K$15:$K38,SALES!$A$5:$A$2000)=0)))*1000000,1))),"")</f>
        <v/>
      </c>
      <c r="K39" s="18">
        <f>IF($J39="","",INDEX(SALES!$A$5:$A$2000,$J39))</f>
        <v/>
      </c>
    </row>
    <row r="40">
      <c r="A40" s="4" t="inlineStr">
        <is>
          <t>Confirm rates and invoice format with Finance before issuing. Up to 15 product lines per order. Draft - review before sharing externally.</t>
        </is>
      </c>
      <c r="J40" s="18">
        <f>IFERROR(IF(SUMPRODUCT(SMALL(((SALES!$A$5:$A$2000&lt;&gt;"")*(COUNTIF($K$15:$K39,SALES!$A$5:$A$2000)=0))*(ROW(SALES!$A$5:$A$2000)-4)+(1-((SALES!$A$5:$A$2000&lt;&gt;"")*(COUNTIF($K$15:$K39,SALES!$A$5:$A$2000)=0)))*1000000,1))&gt;=1000000,"",SUMPRODUCT(SMALL(((SALES!$A$5:$A$2000&lt;&gt;"")*(COUNTIF($K$15:$K39,SALES!$A$5:$A$2000)=0))*(ROW(SALES!$A$5:$A$2000)-4)+(1-((SALES!$A$5:$A$2000&lt;&gt;"")*(COUNTIF($K$15:$K39,SALES!$A$5:$A$2000)=0)))*1000000,1))),"")</f>
        <v/>
      </c>
      <c r="K40" s="18">
        <f>IF($J40="","",INDEX(SALES!$A$5:$A$2000,$J40))</f>
        <v/>
      </c>
    </row>
    <row r="41">
      <c r="J41" s="18">
        <f>IFERROR(IF(SUMPRODUCT(SMALL(((SALES!$A$5:$A$2000&lt;&gt;"")*(COUNTIF($K$15:$K40,SALES!$A$5:$A$2000)=0))*(ROW(SALES!$A$5:$A$2000)-4)+(1-((SALES!$A$5:$A$2000&lt;&gt;"")*(COUNTIF($K$15:$K40,SALES!$A$5:$A$2000)=0)))*1000000,1))&gt;=1000000,"",SUMPRODUCT(SMALL(((SALES!$A$5:$A$2000&lt;&gt;"")*(COUNTIF($K$15:$K40,SALES!$A$5:$A$2000)=0))*(ROW(SALES!$A$5:$A$2000)-4)+(1-((SALES!$A$5:$A$2000&lt;&gt;"")*(COUNTIF($K$15:$K40,SALES!$A$5:$A$2000)=0)))*1000000,1))),"")</f>
        <v/>
      </c>
      <c r="K41" s="18">
        <f>IF($J41="","",INDEX(SALES!$A$5:$A$2000,$J41))</f>
        <v/>
      </c>
    </row>
    <row r="42">
      <c r="J42" s="18">
        <f>IFERROR(IF(SUMPRODUCT(SMALL(((SALES!$A$5:$A$2000&lt;&gt;"")*(COUNTIF($K$15:$K41,SALES!$A$5:$A$2000)=0))*(ROW(SALES!$A$5:$A$2000)-4)+(1-((SALES!$A$5:$A$2000&lt;&gt;"")*(COUNTIF($K$15:$K41,SALES!$A$5:$A$2000)=0)))*1000000,1))&gt;=1000000,"",SUMPRODUCT(SMALL(((SALES!$A$5:$A$2000&lt;&gt;"")*(COUNTIF($K$15:$K41,SALES!$A$5:$A$2000)=0))*(ROW(SALES!$A$5:$A$2000)-4)+(1-((SALES!$A$5:$A$2000&lt;&gt;"")*(COUNTIF($K$15:$K41,SALES!$A$5:$A$2000)=0)))*1000000,1))),"")</f>
        <v/>
      </c>
      <c r="K42" s="18">
        <f>IF($J42="","",INDEX(SALES!$A$5:$A$2000,$J42))</f>
        <v/>
      </c>
    </row>
    <row r="43">
      <c r="J43" s="18">
        <f>IFERROR(IF(SUMPRODUCT(SMALL(((SALES!$A$5:$A$2000&lt;&gt;"")*(COUNTIF($K$15:$K42,SALES!$A$5:$A$2000)=0))*(ROW(SALES!$A$5:$A$2000)-4)+(1-((SALES!$A$5:$A$2000&lt;&gt;"")*(COUNTIF($K$15:$K42,SALES!$A$5:$A$2000)=0)))*1000000,1))&gt;=1000000,"",SUMPRODUCT(SMALL(((SALES!$A$5:$A$2000&lt;&gt;"")*(COUNTIF($K$15:$K42,SALES!$A$5:$A$2000)=0))*(ROW(SALES!$A$5:$A$2000)-4)+(1-((SALES!$A$5:$A$2000&lt;&gt;"")*(COUNTIF($K$15:$K42,SALES!$A$5:$A$2000)=0)))*1000000,1))),"")</f>
        <v/>
      </c>
      <c r="K43" s="18">
        <f>IF($J43="","",INDEX(SALES!$A$5:$A$2000,$J43))</f>
        <v/>
      </c>
    </row>
    <row r="44">
      <c r="J44" s="18">
        <f>IFERROR(IF(SUMPRODUCT(SMALL(((SALES!$A$5:$A$2000&lt;&gt;"")*(COUNTIF($K$15:$K43,SALES!$A$5:$A$2000)=0))*(ROW(SALES!$A$5:$A$2000)-4)+(1-((SALES!$A$5:$A$2000&lt;&gt;"")*(COUNTIF($K$15:$K43,SALES!$A$5:$A$2000)=0)))*1000000,1))&gt;=1000000,"",SUMPRODUCT(SMALL(((SALES!$A$5:$A$2000&lt;&gt;"")*(COUNTIF($K$15:$K43,SALES!$A$5:$A$2000)=0))*(ROW(SALES!$A$5:$A$2000)-4)+(1-((SALES!$A$5:$A$2000&lt;&gt;"")*(COUNTIF($K$15:$K43,SALES!$A$5:$A$2000)=0)))*1000000,1))),"")</f>
        <v/>
      </c>
      <c r="K44" s="18">
        <f>IF($J44="","",INDEX(SALES!$A$5:$A$2000,$J44))</f>
        <v/>
      </c>
    </row>
    <row r="45">
      <c r="J45" s="18">
        <f>IFERROR(IF(SUMPRODUCT(SMALL(((SALES!$A$5:$A$2000&lt;&gt;"")*(COUNTIF($K$15:$K44,SALES!$A$5:$A$2000)=0))*(ROW(SALES!$A$5:$A$2000)-4)+(1-((SALES!$A$5:$A$2000&lt;&gt;"")*(COUNTIF($K$15:$K44,SALES!$A$5:$A$2000)=0)))*1000000,1))&gt;=1000000,"",SUMPRODUCT(SMALL(((SALES!$A$5:$A$2000&lt;&gt;"")*(COUNTIF($K$15:$K44,SALES!$A$5:$A$2000)=0))*(ROW(SALES!$A$5:$A$2000)-4)+(1-((SALES!$A$5:$A$2000&lt;&gt;"")*(COUNTIF($K$15:$K44,SALES!$A$5:$A$2000)=0)))*1000000,1))),"")</f>
        <v/>
      </c>
      <c r="K45" s="18">
        <f>IF($J45="","",INDEX(SALES!$A$5:$A$2000,$J45))</f>
        <v/>
      </c>
    </row>
    <row r="46">
      <c r="J46" s="18">
        <f>IFERROR(IF(SUMPRODUCT(SMALL(((SALES!$A$5:$A$2000&lt;&gt;"")*(COUNTIF($K$15:$K45,SALES!$A$5:$A$2000)=0))*(ROW(SALES!$A$5:$A$2000)-4)+(1-((SALES!$A$5:$A$2000&lt;&gt;"")*(COUNTIF($K$15:$K45,SALES!$A$5:$A$2000)=0)))*1000000,1))&gt;=1000000,"",SUMPRODUCT(SMALL(((SALES!$A$5:$A$2000&lt;&gt;"")*(COUNTIF($K$15:$K45,SALES!$A$5:$A$2000)=0))*(ROW(SALES!$A$5:$A$2000)-4)+(1-((SALES!$A$5:$A$2000&lt;&gt;"")*(COUNTIF($K$15:$K45,SALES!$A$5:$A$2000)=0)))*1000000,1))),"")</f>
        <v/>
      </c>
      <c r="K46" s="18">
        <f>IF($J46="","",INDEX(SALES!$A$5:$A$2000,$J46))</f>
        <v/>
      </c>
    </row>
    <row r="47">
      <c r="J47" s="18">
        <f>IFERROR(IF(SUMPRODUCT(SMALL(((SALES!$A$5:$A$2000&lt;&gt;"")*(COUNTIF($K$15:$K46,SALES!$A$5:$A$2000)=0))*(ROW(SALES!$A$5:$A$2000)-4)+(1-((SALES!$A$5:$A$2000&lt;&gt;"")*(COUNTIF($K$15:$K46,SALES!$A$5:$A$2000)=0)))*1000000,1))&gt;=1000000,"",SUMPRODUCT(SMALL(((SALES!$A$5:$A$2000&lt;&gt;"")*(COUNTIF($K$15:$K46,SALES!$A$5:$A$2000)=0))*(ROW(SALES!$A$5:$A$2000)-4)+(1-((SALES!$A$5:$A$2000&lt;&gt;"")*(COUNTIF($K$15:$K46,SALES!$A$5:$A$2000)=0)))*1000000,1))),"")</f>
        <v/>
      </c>
      <c r="K47" s="18">
        <f>IF($J47="","",INDEX(SALES!$A$5:$A$2000,$J47))</f>
        <v/>
      </c>
    </row>
    <row r="48">
      <c r="J48" s="18">
        <f>IFERROR(IF(SUMPRODUCT(SMALL(((SALES!$A$5:$A$2000&lt;&gt;"")*(COUNTIF($K$15:$K47,SALES!$A$5:$A$2000)=0))*(ROW(SALES!$A$5:$A$2000)-4)+(1-((SALES!$A$5:$A$2000&lt;&gt;"")*(COUNTIF($K$15:$K47,SALES!$A$5:$A$2000)=0)))*1000000,1))&gt;=1000000,"",SUMPRODUCT(SMALL(((SALES!$A$5:$A$2000&lt;&gt;"")*(COUNTIF($K$15:$K47,SALES!$A$5:$A$2000)=0))*(ROW(SALES!$A$5:$A$2000)-4)+(1-((SALES!$A$5:$A$2000&lt;&gt;"")*(COUNTIF($K$15:$K47,SALES!$A$5:$A$2000)=0)))*1000000,1))),"")</f>
        <v/>
      </c>
      <c r="K48" s="18">
        <f>IF($J48="","",INDEX(SALES!$A$5:$A$2000,$J48))</f>
        <v/>
      </c>
    </row>
    <row r="49">
      <c r="J49" s="18">
        <f>IFERROR(IF(SUMPRODUCT(SMALL(((SALES!$A$5:$A$2000&lt;&gt;"")*(COUNTIF($K$15:$K48,SALES!$A$5:$A$2000)=0))*(ROW(SALES!$A$5:$A$2000)-4)+(1-((SALES!$A$5:$A$2000&lt;&gt;"")*(COUNTIF($K$15:$K48,SALES!$A$5:$A$2000)=0)))*1000000,1))&gt;=1000000,"",SUMPRODUCT(SMALL(((SALES!$A$5:$A$2000&lt;&gt;"")*(COUNTIF($K$15:$K48,SALES!$A$5:$A$2000)=0))*(ROW(SALES!$A$5:$A$2000)-4)+(1-((SALES!$A$5:$A$2000&lt;&gt;"")*(COUNTIF($K$15:$K48,SALES!$A$5:$A$2000)=0)))*1000000,1))),"")</f>
        <v/>
      </c>
      <c r="K49" s="18">
        <f>IF($J49="","",INDEX(SALES!$A$5:$A$2000,$J49))</f>
        <v/>
      </c>
    </row>
    <row r="50">
      <c r="J50" s="18">
        <f>IFERROR(IF(SUMPRODUCT(SMALL(((SALES!$A$5:$A$2000&lt;&gt;"")*(COUNTIF($K$15:$K49,SALES!$A$5:$A$2000)=0))*(ROW(SALES!$A$5:$A$2000)-4)+(1-((SALES!$A$5:$A$2000&lt;&gt;"")*(COUNTIF($K$15:$K49,SALES!$A$5:$A$2000)=0)))*1000000,1))&gt;=1000000,"",SUMPRODUCT(SMALL(((SALES!$A$5:$A$2000&lt;&gt;"")*(COUNTIF($K$15:$K49,SALES!$A$5:$A$2000)=0))*(ROW(SALES!$A$5:$A$2000)-4)+(1-((SALES!$A$5:$A$2000&lt;&gt;"")*(COUNTIF($K$15:$K49,SALES!$A$5:$A$2000)=0)))*1000000,1))),"")</f>
        <v/>
      </c>
      <c r="K50" s="18">
        <f>IF($J50="","",INDEX(SALES!$A$5:$A$2000,$J50))</f>
        <v/>
      </c>
    </row>
    <row r="51">
      <c r="J51" s="18">
        <f>IFERROR(IF(SUMPRODUCT(SMALL(((SALES!$A$5:$A$2000&lt;&gt;"")*(COUNTIF($K$15:$K50,SALES!$A$5:$A$2000)=0))*(ROW(SALES!$A$5:$A$2000)-4)+(1-((SALES!$A$5:$A$2000&lt;&gt;"")*(COUNTIF($K$15:$K50,SALES!$A$5:$A$2000)=0)))*1000000,1))&gt;=1000000,"",SUMPRODUCT(SMALL(((SALES!$A$5:$A$2000&lt;&gt;"")*(COUNTIF($K$15:$K50,SALES!$A$5:$A$2000)=0))*(ROW(SALES!$A$5:$A$2000)-4)+(1-((SALES!$A$5:$A$2000&lt;&gt;"")*(COUNTIF($K$15:$K50,SALES!$A$5:$A$2000)=0)))*1000000,1))),"")</f>
        <v/>
      </c>
      <c r="K51" s="18">
        <f>IF($J51="","",INDEX(SALES!$A$5:$A$2000,$J51))</f>
        <v/>
      </c>
    </row>
    <row r="52">
      <c r="J52" s="18">
        <f>IFERROR(IF(SUMPRODUCT(SMALL(((SALES!$A$5:$A$2000&lt;&gt;"")*(COUNTIF($K$15:$K51,SALES!$A$5:$A$2000)=0))*(ROW(SALES!$A$5:$A$2000)-4)+(1-((SALES!$A$5:$A$2000&lt;&gt;"")*(COUNTIF($K$15:$K51,SALES!$A$5:$A$2000)=0)))*1000000,1))&gt;=1000000,"",SUMPRODUCT(SMALL(((SALES!$A$5:$A$2000&lt;&gt;"")*(COUNTIF($K$15:$K51,SALES!$A$5:$A$2000)=0))*(ROW(SALES!$A$5:$A$2000)-4)+(1-((SALES!$A$5:$A$2000&lt;&gt;"")*(COUNTIF($K$15:$K51,SALES!$A$5:$A$2000)=0)))*1000000,1))),"")</f>
        <v/>
      </c>
      <c r="K52" s="18">
        <f>IF($J52="","",INDEX(SALES!$A$5:$A$2000,$J52))</f>
        <v/>
      </c>
    </row>
    <row r="53">
      <c r="J53" s="18">
        <f>IFERROR(IF(SUMPRODUCT(SMALL(((SALES!$A$5:$A$2000&lt;&gt;"")*(COUNTIF($K$15:$K52,SALES!$A$5:$A$2000)=0))*(ROW(SALES!$A$5:$A$2000)-4)+(1-((SALES!$A$5:$A$2000&lt;&gt;"")*(COUNTIF($K$15:$K52,SALES!$A$5:$A$2000)=0)))*1000000,1))&gt;=1000000,"",SUMPRODUCT(SMALL(((SALES!$A$5:$A$2000&lt;&gt;"")*(COUNTIF($K$15:$K52,SALES!$A$5:$A$2000)=0))*(ROW(SALES!$A$5:$A$2000)-4)+(1-((SALES!$A$5:$A$2000&lt;&gt;"")*(COUNTIF($K$15:$K52,SALES!$A$5:$A$2000)=0)))*1000000,1))),"")</f>
        <v/>
      </c>
      <c r="K53" s="18">
        <f>IF($J53="","",INDEX(SALES!$A$5:$A$2000,$J53))</f>
        <v/>
      </c>
    </row>
    <row r="54">
      <c r="J54" s="18">
        <f>IFERROR(IF(SUMPRODUCT(SMALL(((SALES!$A$5:$A$2000&lt;&gt;"")*(COUNTIF($K$15:$K53,SALES!$A$5:$A$2000)=0))*(ROW(SALES!$A$5:$A$2000)-4)+(1-((SALES!$A$5:$A$2000&lt;&gt;"")*(COUNTIF($K$15:$K53,SALES!$A$5:$A$2000)=0)))*1000000,1))&gt;=1000000,"",SUMPRODUCT(SMALL(((SALES!$A$5:$A$2000&lt;&gt;"")*(COUNTIF($K$15:$K53,SALES!$A$5:$A$2000)=0))*(ROW(SALES!$A$5:$A$2000)-4)+(1-((SALES!$A$5:$A$2000&lt;&gt;"")*(COUNTIF($K$15:$K53,SALES!$A$5:$A$2000)=0)))*1000000,1))),"")</f>
        <v/>
      </c>
      <c r="K54" s="18">
        <f>IF($J54="","",INDEX(SALES!$A$5:$A$2000,$J54))</f>
        <v/>
      </c>
    </row>
    <row r="55">
      <c r="J55" s="18">
        <f>IFERROR(IF(SUMPRODUCT(SMALL(((SALES!$A$5:$A$2000&lt;&gt;"")*(COUNTIF($K$15:$K54,SALES!$A$5:$A$2000)=0))*(ROW(SALES!$A$5:$A$2000)-4)+(1-((SALES!$A$5:$A$2000&lt;&gt;"")*(COUNTIF($K$15:$K54,SALES!$A$5:$A$2000)=0)))*1000000,1))&gt;=1000000,"",SUMPRODUCT(SMALL(((SALES!$A$5:$A$2000&lt;&gt;"")*(COUNTIF($K$15:$K54,SALES!$A$5:$A$2000)=0))*(ROW(SALES!$A$5:$A$2000)-4)+(1-((SALES!$A$5:$A$2000&lt;&gt;"")*(COUNTIF($K$15:$K54,SALES!$A$5:$A$2000)=0)))*1000000,1))),"")</f>
        <v/>
      </c>
      <c r="K55" s="18">
        <f>IF($J55="","",INDEX(SALES!$A$5:$A$2000,$J55))</f>
        <v/>
      </c>
    </row>
    <row r="56">
      <c r="J56" s="18">
        <f>IFERROR(IF(SUMPRODUCT(SMALL(((SALES!$A$5:$A$2000&lt;&gt;"")*(COUNTIF($K$15:$K55,SALES!$A$5:$A$2000)=0))*(ROW(SALES!$A$5:$A$2000)-4)+(1-((SALES!$A$5:$A$2000&lt;&gt;"")*(COUNTIF($K$15:$K55,SALES!$A$5:$A$2000)=0)))*1000000,1))&gt;=1000000,"",SUMPRODUCT(SMALL(((SALES!$A$5:$A$2000&lt;&gt;"")*(COUNTIF($K$15:$K55,SALES!$A$5:$A$2000)=0))*(ROW(SALES!$A$5:$A$2000)-4)+(1-((SALES!$A$5:$A$2000&lt;&gt;"")*(COUNTIF($K$15:$K55,SALES!$A$5:$A$2000)=0)))*1000000,1))),"")</f>
        <v/>
      </c>
      <c r="K56" s="18">
        <f>IF($J56="","",INDEX(SALES!$A$5:$A$2000,$J56))</f>
        <v/>
      </c>
    </row>
    <row r="57">
      <c r="J57" s="18">
        <f>IFERROR(IF(SUMPRODUCT(SMALL(((SALES!$A$5:$A$2000&lt;&gt;"")*(COUNTIF($K$15:$K56,SALES!$A$5:$A$2000)=0))*(ROW(SALES!$A$5:$A$2000)-4)+(1-((SALES!$A$5:$A$2000&lt;&gt;"")*(COUNTIF($K$15:$K56,SALES!$A$5:$A$2000)=0)))*1000000,1))&gt;=1000000,"",SUMPRODUCT(SMALL(((SALES!$A$5:$A$2000&lt;&gt;"")*(COUNTIF($K$15:$K56,SALES!$A$5:$A$2000)=0))*(ROW(SALES!$A$5:$A$2000)-4)+(1-((SALES!$A$5:$A$2000&lt;&gt;"")*(COUNTIF($K$15:$K56,SALES!$A$5:$A$2000)=0)))*1000000,1))),"")</f>
        <v/>
      </c>
      <c r="K57" s="18">
        <f>IF($J57="","",INDEX(SALES!$A$5:$A$2000,$J57))</f>
        <v/>
      </c>
    </row>
    <row r="58">
      <c r="J58" s="18">
        <f>IFERROR(IF(SUMPRODUCT(SMALL(((SALES!$A$5:$A$2000&lt;&gt;"")*(COUNTIF($K$15:$K57,SALES!$A$5:$A$2000)=0))*(ROW(SALES!$A$5:$A$2000)-4)+(1-((SALES!$A$5:$A$2000&lt;&gt;"")*(COUNTIF($K$15:$K57,SALES!$A$5:$A$2000)=0)))*1000000,1))&gt;=1000000,"",SUMPRODUCT(SMALL(((SALES!$A$5:$A$2000&lt;&gt;"")*(COUNTIF($K$15:$K57,SALES!$A$5:$A$2000)=0))*(ROW(SALES!$A$5:$A$2000)-4)+(1-((SALES!$A$5:$A$2000&lt;&gt;"")*(COUNTIF($K$15:$K57,SALES!$A$5:$A$2000)=0)))*1000000,1))),"")</f>
        <v/>
      </c>
      <c r="K58" s="18">
        <f>IF($J58="","",INDEX(SALES!$A$5:$A$2000,$J58))</f>
        <v/>
      </c>
    </row>
    <row r="59">
      <c r="J59" s="18">
        <f>IFERROR(IF(SUMPRODUCT(SMALL(((SALES!$A$5:$A$2000&lt;&gt;"")*(COUNTIF($K$15:$K58,SALES!$A$5:$A$2000)=0))*(ROW(SALES!$A$5:$A$2000)-4)+(1-((SALES!$A$5:$A$2000&lt;&gt;"")*(COUNTIF($K$15:$K58,SALES!$A$5:$A$2000)=0)))*1000000,1))&gt;=1000000,"",SUMPRODUCT(SMALL(((SALES!$A$5:$A$2000&lt;&gt;"")*(COUNTIF($K$15:$K58,SALES!$A$5:$A$2000)=0))*(ROW(SALES!$A$5:$A$2000)-4)+(1-((SALES!$A$5:$A$2000&lt;&gt;"")*(COUNTIF($K$15:$K58,SALES!$A$5:$A$2000)=0)))*1000000,1))),"")</f>
        <v/>
      </c>
      <c r="K59" s="18">
        <f>IF($J59="","",INDEX(SALES!$A$5:$A$2000,$J59))</f>
        <v/>
      </c>
    </row>
    <row r="60">
      <c r="J60" s="18">
        <f>IFERROR(IF(SUMPRODUCT(SMALL(((SALES!$A$5:$A$2000&lt;&gt;"")*(COUNTIF($K$15:$K59,SALES!$A$5:$A$2000)=0))*(ROW(SALES!$A$5:$A$2000)-4)+(1-((SALES!$A$5:$A$2000&lt;&gt;"")*(COUNTIF($K$15:$K59,SALES!$A$5:$A$2000)=0)))*1000000,1))&gt;=1000000,"",SUMPRODUCT(SMALL(((SALES!$A$5:$A$2000&lt;&gt;"")*(COUNTIF($K$15:$K59,SALES!$A$5:$A$2000)=0))*(ROW(SALES!$A$5:$A$2000)-4)+(1-((SALES!$A$5:$A$2000&lt;&gt;"")*(COUNTIF($K$15:$K59,SALES!$A$5:$A$2000)=0)))*1000000,1))),"")</f>
        <v/>
      </c>
      <c r="K60" s="18">
        <f>IF($J60="","",INDEX(SALES!$A$5:$A$2000,$J60))</f>
        <v/>
      </c>
    </row>
    <row r="61">
      <c r="J61" s="18">
        <f>IFERROR(IF(SUMPRODUCT(SMALL(((SALES!$A$5:$A$2000&lt;&gt;"")*(COUNTIF($K$15:$K60,SALES!$A$5:$A$2000)=0))*(ROW(SALES!$A$5:$A$2000)-4)+(1-((SALES!$A$5:$A$2000&lt;&gt;"")*(COUNTIF($K$15:$K60,SALES!$A$5:$A$2000)=0)))*1000000,1))&gt;=1000000,"",SUMPRODUCT(SMALL(((SALES!$A$5:$A$2000&lt;&gt;"")*(COUNTIF($K$15:$K60,SALES!$A$5:$A$2000)=0))*(ROW(SALES!$A$5:$A$2000)-4)+(1-((SALES!$A$5:$A$2000&lt;&gt;"")*(COUNTIF($K$15:$K60,SALES!$A$5:$A$2000)=0)))*1000000,1))),"")</f>
        <v/>
      </c>
      <c r="K61" s="18">
        <f>IF($J61="","",INDEX(SALES!$A$5:$A$2000,$J61))</f>
        <v/>
      </c>
    </row>
    <row r="62">
      <c r="J62" s="18">
        <f>IFERROR(IF(SUMPRODUCT(SMALL(((SALES!$A$5:$A$2000&lt;&gt;"")*(COUNTIF($K$15:$K61,SALES!$A$5:$A$2000)=0))*(ROW(SALES!$A$5:$A$2000)-4)+(1-((SALES!$A$5:$A$2000&lt;&gt;"")*(COUNTIF($K$15:$K61,SALES!$A$5:$A$2000)=0)))*1000000,1))&gt;=1000000,"",SUMPRODUCT(SMALL(((SALES!$A$5:$A$2000&lt;&gt;"")*(COUNTIF($K$15:$K61,SALES!$A$5:$A$2000)=0))*(ROW(SALES!$A$5:$A$2000)-4)+(1-((SALES!$A$5:$A$2000&lt;&gt;"")*(COUNTIF($K$15:$K61,SALES!$A$5:$A$2000)=0)))*1000000,1))),"")</f>
        <v/>
      </c>
      <c r="K62" s="18">
        <f>IF($J62="","",INDEX(SALES!$A$5:$A$2000,$J62))</f>
        <v/>
      </c>
    </row>
    <row r="63">
      <c r="J63" s="18">
        <f>IFERROR(IF(SUMPRODUCT(SMALL(((SALES!$A$5:$A$2000&lt;&gt;"")*(COUNTIF($K$15:$K62,SALES!$A$5:$A$2000)=0))*(ROW(SALES!$A$5:$A$2000)-4)+(1-((SALES!$A$5:$A$2000&lt;&gt;"")*(COUNTIF($K$15:$K62,SALES!$A$5:$A$2000)=0)))*1000000,1))&gt;=1000000,"",SUMPRODUCT(SMALL(((SALES!$A$5:$A$2000&lt;&gt;"")*(COUNTIF($K$15:$K62,SALES!$A$5:$A$2000)=0))*(ROW(SALES!$A$5:$A$2000)-4)+(1-((SALES!$A$5:$A$2000&lt;&gt;"")*(COUNTIF($K$15:$K62,SALES!$A$5:$A$2000)=0)))*1000000,1))),"")</f>
        <v/>
      </c>
      <c r="K63" s="18">
        <f>IF($J63="","",INDEX(SALES!$A$5:$A$2000,$J63))</f>
        <v/>
      </c>
    </row>
    <row r="64">
      <c r="J64" s="18">
        <f>IFERROR(IF(SUMPRODUCT(SMALL(((SALES!$A$5:$A$2000&lt;&gt;"")*(COUNTIF($K$15:$K63,SALES!$A$5:$A$2000)=0))*(ROW(SALES!$A$5:$A$2000)-4)+(1-((SALES!$A$5:$A$2000&lt;&gt;"")*(COUNTIF($K$15:$K63,SALES!$A$5:$A$2000)=0)))*1000000,1))&gt;=1000000,"",SUMPRODUCT(SMALL(((SALES!$A$5:$A$2000&lt;&gt;"")*(COUNTIF($K$15:$K63,SALES!$A$5:$A$2000)=0))*(ROW(SALES!$A$5:$A$2000)-4)+(1-((SALES!$A$5:$A$2000&lt;&gt;"")*(COUNTIF($K$15:$K63,SALES!$A$5:$A$2000)=0)))*1000000,1))),"")</f>
        <v/>
      </c>
      <c r="K64" s="18">
        <f>IF($J64="","",INDEX(SALES!$A$5:$A$2000,$J64))</f>
        <v/>
      </c>
    </row>
    <row r="65">
      <c r="J65" s="18">
        <f>IFERROR(IF(SUMPRODUCT(SMALL(((SALES!$A$5:$A$2000&lt;&gt;"")*(COUNTIF($K$15:$K64,SALES!$A$5:$A$2000)=0))*(ROW(SALES!$A$5:$A$2000)-4)+(1-((SALES!$A$5:$A$2000&lt;&gt;"")*(COUNTIF($K$15:$K64,SALES!$A$5:$A$2000)=0)))*1000000,1))&gt;=1000000,"",SUMPRODUCT(SMALL(((SALES!$A$5:$A$2000&lt;&gt;"")*(COUNTIF($K$15:$K64,SALES!$A$5:$A$2000)=0))*(ROW(SALES!$A$5:$A$2000)-4)+(1-((SALES!$A$5:$A$2000&lt;&gt;"")*(COUNTIF($K$15:$K64,SALES!$A$5:$A$2000)=0)))*1000000,1))),"")</f>
        <v/>
      </c>
      <c r="K65" s="18">
        <f>IF($J65="","",INDEX(SALES!$A$5:$A$2000,$J65))</f>
        <v/>
      </c>
    </row>
    <row r="66">
      <c r="J66" s="18">
        <f>IFERROR(IF(SUMPRODUCT(SMALL(((SALES!$A$5:$A$2000&lt;&gt;"")*(COUNTIF($K$15:$K65,SALES!$A$5:$A$2000)=0))*(ROW(SALES!$A$5:$A$2000)-4)+(1-((SALES!$A$5:$A$2000&lt;&gt;"")*(COUNTIF($K$15:$K65,SALES!$A$5:$A$2000)=0)))*1000000,1))&gt;=1000000,"",SUMPRODUCT(SMALL(((SALES!$A$5:$A$2000&lt;&gt;"")*(COUNTIF($K$15:$K65,SALES!$A$5:$A$2000)=0))*(ROW(SALES!$A$5:$A$2000)-4)+(1-((SALES!$A$5:$A$2000&lt;&gt;"")*(COUNTIF($K$15:$K65,SALES!$A$5:$A$2000)=0)))*1000000,1))),"")</f>
        <v/>
      </c>
      <c r="K66" s="18">
        <f>IF($J66="","",INDEX(SALES!$A$5:$A$2000,$J66))</f>
        <v/>
      </c>
    </row>
    <row r="67">
      <c r="J67" s="18">
        <f>IFERROR(IF(SUMPRODUCT(SMALL(((SALES!$A$5:$A$2000&lt;&gt;"")*(COUNTIF($K$15:$K66,SALES!$A$5:$A$2000)=0))*(ROW(SALES!$A$5:$A$2000)-4)+(1-((SALES!$A$5:$A$2000&lt;&gt;"")*(COUNTIF($K$15:$K66,SALES!$A$5:$A$2000)=0)))*1000000,1))&gt;=1000000,"",SUMPRODUCT(SMALL(((SALES!$A$5:$A$2000&lt;&gt;"")*(COUNTIF($K$15:$K66,SALES!$A$5:$A$2000)=0))*(ROW(SALES!$A$5:$A$2000)-4)+(1-((SALES!$A$5:$A$2000&lt;&gt;"")*(COUNTIF($K$15:$K66,SALES!$A$5:$A$2000)=0)))*1000000,1))),"")</f>
        <v/>
      </c>
      <c r="K67" s="18">
        <f>IF($J67="","",INDEX(SALES!$A$5:$A$2000,$J67))</f>
        <v/>
      </c>
    </row>
    <row r="68">
      <c r="J68" s="18">
        <f>IFERROR(IF(SUMPRODUCT(SMALL(((SALES!$A$5:$A$2000&lt;&gt;"")*(COUNTIF($K$15:$K67,SALES!$A$5:$A$2000)=0))*(ROW(SALES!$A$5:$A$2000)-4)+(1-((SALES!$A$5:$A$2000&lt;&gt;"")*(COUNTIF($K$15:$K67,SALES!$A$5:$A$2000)=0)))*1000000,1))&gt;=1000000,"",SUMPRODUCT(SMALL(((SALES!$A$5:$A$2000&lt;&gt;"")*(COUNTIF($K$15:$K67,SALES!$A$5:$A$2000)=0))*(ROW(SALES!$A$5:$A$2000)-4)+(1-((SALES!$A$5:$A$2000&lt;&gt;"")*(COUNTIF($K$15:$K67,SALES!$A$5:$A$2000)=0)))*1000000,1))),"")</f>
        <v/>
      </c>
      <c r="K68" s="18">
        <f>IF($J68="","",INDEX(SALES!$A$5:$A$2000,$J68))</f>
        <v/>
      </c>
    </row>
    <row r="69">
      <c r="J69" s="18">
        <f>IFERROR(IF(SUMPRODUCT(SMALL(((SALES!$A$5:$A$2000&lt;&gt;"")*(COUNTIF($K$15:$K68,SALES!$A$5:$A$2000)=0))*(ROW(SALES!$A$5:$A$2000)-4)+(1-((SALES!$A$5:$A$2000&lt;&gt;"")*(COUNTIF($K$15:$K68,SALES!$A$5:$A$2000)=0)))*1000000,1))&gt;=1000000,"",SUMPRODUCT(SMALL(((SALES!$A$5:$A$2000&lt;&gt;"")*(COUNTIF($K$15:$K68,SALES!$A$5:$A$2000)=0))*(ROW(SALES!$A$5:$A$2000)-4)+(1-((SALES!$A$5:$A$2000&lt;&gt;"")*(COUNTIF($K$15:$K68,SALES!$A$5:$A$2000)=0)))*1000000,1))),"")</f>
        <v/>
      </c>
      <c r="K69" s="18">
        <f>IF($J69="","",INDEX(SALES!$A$5:$A$2000,$J69))</f>
        <v/>
      </c>
    </row>
    <row r="70">
      <c r="J70" s="18">
        <f>IFERROR(IF(SUMPRODUCT(SMALL(((SALES!$A$5:$A$2000&lt;&gt;"")*(COUNTIF($K$15:$K69,SALES!$A$5:$A$2000)=0))*(ROW(SALES!$A$5:$A$2000)-4)+(1-((SALES!$A$5:$A$2000&lt;&gt;"")*(COUNTIF($K$15:$K69,SALES!$A$5:$A$2000)=0)))*1000000,1))&gt;=1000000,"",SUMPRODUCT(SMALL(((SALES!$A$5:$A$2000&lt;&gt;"")*(COUNTIF($K$15:$K69,SALES!$A$5:$A$2000)=0))*(ROW(SALES!$A$5:$A$2000)-4)+(1-((SALES!$A$5:$A$2000&lt;&gt;"")*(COUNTIF($K$15:$K69,SALES!$A$5:$A$2000)=0)))*1000000,1))),"")</f>
        <v/>
      </c>
      <c r="K70" s="18">
        <f>IF($J70="","",INDEX(SALES!$A$5:$A$2000,$J70))</f>
        <v/>
      </c>
    </row>
    <row r="71">
      <c r="J71" s="18">
        <f>IFERROR(IF(SUMPRODUCT(SMALL(((SALES!$A$5:$A$2000&lt;&gt;"")*(COUNTIF($K$15:$K70,SALES!$A$5:$A$2000)=0))*(ROW(SALES!$A$5:$A$2000)-4)+(1-((SALES!$A$5:$A$2000&lt;&gt;"")*(COUNTIF($K$15:$K70,SALES!$A$5:$A$2000)=0)))*1000000,1))&gt;=1000000,"",SUMPRODUCT(SMALL(((SALES!$A$5:$A$2000&lt;&gt;"")*(COUNTIF($K$15:$K70,SALES!$A$5:$A$2000)=0))*(ROW(SALES!$A$5:$A$2000)-4)+(1-((SALES!$A$5:$A$2000&lt;&gt;"")*(COUNTIF($K$15:$K70,SALES!$A$5:$A$2000)=0)))*1000000,1))),"")</f>
        <v/>
      </c>
      <c r="K71" s="18">
        <f>IF($J71="","",INDEX(SALES!$A$5:$A$2000,$J71))</f>
        <v/>
      </c>
    </row>
    <row r="72">
      <c r="J72" s="18">
        <f>IFERROR(IF(SUMPRODUCT(SMALL(((SALES!$A$5:$A$2000&lt;&gt;"")*(COUNTIF($K$15:$K71,SALES!$A$5:$A$2000)=0))*(ROW(SALES!$A$5:$A$2000)-4)+(1-((SALES!$A$5:$A$2000&lt;&gt;"")*(COUNTIF($K$15:$K71,SALES!$A$5:$A$2000)=0)))*1000000,1))&gt;=1000000,"",SUMPRODUCT(SMALL(((SALES!$A$5:$A$2000&lt;&gt;"")*(COUNTIF($K$15:$K71,SALES!$A$5:$A$2000)=0))*(ROW(SALES!$A$5:$A$2000)-4)+(1-((SALES!$A$5:$A$2000&lt;&gt;"")*(COUNTIF($K$15:$K71,SALES!$A$5:$A$2000)=0)))*1000000,1))),"")</f>
        <v/>
      </c>
      <c r="K72" s="18">
        <f>IF($J72="","",INDEX(SALES!$A$5:$A$2000,$J72))</f>
        <v/>
      </c>
    </row>
    <row r="73">
      <c r="J73" s="18">
        <f>IFERROR(IF(SUMPRODUCT(SMALL(((SALES!$A$5:$A$2000&lt;&gt;"")*(COUNTIF($K$15:$K72,SALES!$A$5:$A$2000)=0))*(ROW(SALES!$A$5:$A$2000)-4)+(1-((SALES!$A$5:$A$2000&lt;&gt;"")*(COUNTIF($K$15:$K72,SALES!$A$5:$A$2000)=0)))*1000000,1))&gt;=1000000,"",SUMPRODUCT(SMALL(((SALES!$A$5:$A$2000&lt;&gt;"")*(COUNTIF($K$15:$K72,SALES!$A$5:$A$2000)=0))*(ROW(SALES!$A$5:$A$2000)-4)+(1-((SALES!$A$5:$A$2000&lt;&gt;"")*(COUNTIF($K$15:$K72,SALES!$A$5:$A$2000)=0)))*1000000,1))),"")</f>
        <v/>
      </c>
      <c r="K73" s="18">
        <f>IF($J73="","",INDEX(SALES!$A$5:$A$2000,$J73))</f>
        <v/>
      </c>
    </row>
    <row r="74">
      <c r="J74" s="18">
        <f>IFERROR(IF(SUMPRODUCT(SMALL(((SALES!$A$5:$A$2000&lt;&gt;"")*(COUNTIF($K$15:$K73,SALES!$A$5:$A$2000)=0))*(ROW(SALES!$A$5:$A$2000)-4)+(1-((SALES!$A$5:$A$2000&lt;&gt;"")*(COUNTIF($K$15:$K73,SALES!$A$5:$A$2000)=0)))*1000000,1))&gt;=1000000,"",SUMPRODUCT(SMALL(((SALES!$A$5:$A$2000&lt;&gt;"")*(COUNTIF($K$15:$K73,SALES!$A$5:$A$2000)=0))*(ROW(SALES!$A$5:$A$2000)-4)+(1-((SALES!$A$5:$A$2000&lt;&gt;"")*(COUNTIF($K$15:$K73,SALES!$A$5:$A$2000)=0)))*1000000,1))),"")</f>
        <v/>
      </c>
      <c r="K74" s="18">
        <f>IF($J74="","",INDEX(SALES!$A$5:$A$2000,$J74))</f>
        <v/>
      </c>
    </row>
    <row r="75">
      <c r="J75" s="18">
        <f>IFERROR(IF(SUMPRODUCT(SMALL(((SALES!$A$5:$A$2000&lt;&gt;"")*(COUNTIF($K$15:$K74,SALES!$A$5:$A$2000)=0))*(ROW(SALES!$A$5:$A$2000)-4)+(1-((SALES!$A$5:$A$2000&lt;&gt;"")*(COUNTIF($K$15:$K74,SALES!$A$5:$A$2000)=0)))*1000000,1))&gt;=1000000,"",SUMPRODUCT(SMALL(((SALES!$A$5:$A$2000&lt;&gt;"")*(COUNTIF($K$15:$K74,SALES!$A$5:$A$2000)=0))*(ROW(SALES!$A$5:$A$2000)-4)+(1-((SALES!$A$5:$A$2000&lt;&gt;"")*(COUNTIF($K$15:$K74,SALES!$A$5:$A$2000)=0)))*1000000,1))),"")</f>
        <v/>
      </c>
      <c r="K75" s="18">
        <f>IF($J75="","",INDEX(SALES!$A$5:$A$2000,$J75))</f>
        <v/>
      </c>
    </row>
  </sheetData>
  <mergeCells count="1">
    <mergeCell ref="F4:G5"/>
  </mergeCells>
  <dataValidations count="1">
    <dataValidation sqref="C7" showDropDown="0" showInputMessage="0" showErrorMessage="0" allowBlank="0" type="list">
      <formula1>=lstOrders</formula1>
    </dataValidation>
  </dataValidations>
  <pageMargins left="0.75" right="0.75" top="1" bottom="1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6" t="inlineStr">
        <is>
          <t>Happy Hatch – HOW TO USE THIS WORKBOOK</t>
        </is>
      </c>
    </row>
    <row r="2">
      <c r="A2" s="57" t="inlineStr">
        <is>
          <t>Logo: replace the LOGO placeholder box on DASHBOARD (G1:H2) and INVOICE (F4:G5) with your image via Insert &gt; Pictures.</t>
        </is>
      </c>
    </row>
    <row r="3">
      <c r="A3" s="57" t="inlineStr"/>
    </row>
    <row r="4">
      <c r="A4" s="57" t="inlineStr">
        <is>
          <t>Sheets: DASHBOARD (date search &amp; KPIs) | PRODUCTS | SALES | CUSTOMERS | PURCHASE | INVOICE</t>
        </is>
      </c>
    </row>
    <row r="5">
      <c r="A5" s="57" t="inlineStr">
        <is>
          <t>Colour code: blue text = you enter data; black text = automatic formula; yellow cell = search / setting input.</t>
        </is>
      </c>
    </row>
    <row r="6">
      <c r="A6" s="57" t="inlineStr">
        <is>
          <t>Sample rows are placeholders (products taken from your images; customers, quantities, dates are illustrative) - overwrite them.</t>
        </is>
      </c>
    </row>
    <row r="7">
      <c r="A7" s="57" t="inlineStr"/>
    </row>
    <row r="8">
      <c r="A8" s="58" t="inlineStr">
        <is>
          <t>DATA-ENTRY FORM (Create / Edit / Search) - works on every data sheet, no macros needed</t>
        </is>
      </c>
    </row>
    <row r="9">
      <c r="A9" s="57" t="inlineStr">
        <is>
          <t>1. One-time: File &gt; Options &gt; Quick Access Toolbar &gt; choose 'Commands Not in the Ribbon' &gt; add 'Form...' &gt; OK.</t>
        </is>
      </c>
    </row>
    <row r="10">
      <c r="A10" s="57" t="inlineStr">
        <is>
          <t>2. Click any cell inside a table (e.g. A5 in SALES) and click the Form icon.</t>
        </is>
      </c>
    </row>
    <row r="11">
      <c r="A11" s="57" t="inlineStr">
        <is>
          <t>3. New = add record | Find Prev / Find Next = browse and edit | Criteria = search (type e.g. a Product Code, then Find Next) | Delete = remove.</t>
        </is>
      </c>
    </row>
    <row r="12">
      <c r="A12" s="57" t="inlineStr">
        <is>
          <t>4. Grey/ formula fields (In Stock, Onboard Price, Net Price, Revenue, looked-up names, Net Amount, Total Cost) fill in automatically.</t>
        </is>
      </c>
    </row>
    <row r="13">
      <c r="A13" s="57" t="inlineStr">
        <is>
          <t>5. The Form does not show drop-downs: type Customer Number / Product Code exactly as in their sheets. Typing directly in the grid gives drop-down lists.</t>
        </is>
      </c>
    </row>
    <row r="14">
      <c r="A14" s="57" t="inlineStr"/>
    </row>
    <row r="15">
      <c r="A15" s="58" t="inlineStr">
        <is>
          <t>BUSINESS RULES IMPLEMENTED</t>
        </is>
      </c>
    </row>
    <row r="16">
      <c r="A16" s="57" t="inlineStr">
        <is>
          <t>PRODUCTS: In Stock = sum of PURCHASE quantity − sum of SALES quantity for the product code.  Onboard Price = Base Price + Transit Charges.</t>
        </is>
      </c>
    </row>
    <row r="17">
      <c r="A17" s="57" t="inlineStr">
        <is>
          <t xml:space="preserve">          Net Price = Onboard Price + Profitability % × Onboard Price.  Revenue = Net Price − Onboard Price (per unit).</t>
        </is>
      </c>
    </row>
    <row r="18">
      <c r="A18" s="57" t="inlineStr">
        <is>
          <t>SALES: Product Name and Product price (Net Price) are looked up from PRODUCTS.  Net Amount = MRP × Quantity. GST / CGST / SGST / IGST (%) are the tax rates for the order - repeat the same rates on every row of an order (the invoice uses the first row). Enter only the taxes that apply.</t>
        </is>
      </c>
    </row>
    <row r="19">
      <c r="A19" s="57" t="inlineStr">
        <is>
          <t>PURCHASE: Shipper name, contact and email, and Date of Purchase are captured on each line.</t>
        </is>
      </c>
    </row>
    <row r="20">
      <c r="A20" s="57" t="inlineStr">
        <is>
          <t>DASHBOARD: change From/To dates (yellow) to search.  SALES: one Order Number (HH_S000101 ...) can have many product rows. INVOICE: choose an Order Number, then File &gt; Export &gt; Create PDF.</t>
        </is>
      </c>
    </row>
    <row r="21">
      <c r="A21" s="57" t="inlineStr"/>
    </row>
    <row r="22">
      <c r="A22" s="58" t="inlineStr">
        <is>
          <t>ASSUMPTIONS TO CONFIRM</t>
        </is>
      </c>
    </row>
    <row r="23">
      <c r="A23" s="57" t="inlineStr">
        <is>
          <t>- Base Price = price shown on each product image. NN95 (₹1108) and NN82 (₹1102) look like per-dozen/carton prices rather than per piece - please verify.</t>
        </is>
      </c>
    </row>
    <row r="24">
      <c r="A24" s="57" t="inlineStr">
        <is>
          <t>- Transit Charges (per unit), Profitability % (20%) and Market Price are illustrative sample values.</t>
        </is>
      </c>
    </row>
    <row r="25">
      <c r="A25" s="57" t="inlineStr">
        <is>
          <t>- Product codes run from HH000101 onward (next new product: HH000107). The original item numbers are kept in the Specification column.</t>
        </is>
      </c>
    </row>
    <row r="26">
      <c r="A26" s="57" t="inlineStr">
        <is>
          <t>- Tables hold up to ~2000 rows in formulas/dashboard ranges (edit the ranges if you need more).</t>
        </is>
      </c>
    </row>
    <row r="27">
      <c r="A27" s="57" t="inlineStr">
        <is>
          <t>- PRODUCTS &gt; Photo File holds each product's image path (Product_Photos/&lt;Product Code&gt;.jpg, relative to this workbook's folder). Keep the workbook and Product_Photos folder together.</t>
        </is>
      </c>
    </row>
    <row r="28">
      <c r="A28" s="57" t="inlineStr">
        <is>
          <t>- Remarks column is the last column of every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2026-10-12T06:39:28Z</dcterms:created>
  <dcterms:modified xmlns:dcterms="http://purl.org/dc/terms/" xmlns:xsi="http://www.w3.org/2001/XMLSchema-instance" xsi:type="dcterms:W3CDTF">2026-10-12T06:39:28Z</dcterms:modified>
</cp:coreProperties>
</file>