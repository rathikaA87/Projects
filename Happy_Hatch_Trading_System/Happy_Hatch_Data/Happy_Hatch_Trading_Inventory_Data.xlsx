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SALES" sheetId="2" state="visible" r:id="rId2"/>
    <sheet xmlns:r="http://schemas.openxmlformats.org/officeDocument/2006/relationships" name="SALES_ITEMS" sheetId="3" state="visible" r:id="rId3"/>
    <sheet xmlns:r="http://schemas.openxmlformats.org/officeDocument/2006/relationships" name="CUSTOMERS" sheetId="4" state="visible" r:id="rId4"/>
    <sheet xmlns:r="http://schemas.openxmlformats.org/officeDocument/2006/relationships" name="PURCHASE" sheetId="5" state="visible" r:id="rId5"/>
    <sheet xmlns:r="http://schemas.openxmlformats.org/officeDocument/2006/relationships" name="SHIPPER" sheetId="6" state="visible" r:id="rId6"/>
    <sheet xmlns:r="http://schemas.openxmlformats.org/officeDocument/2006/relationships" name="TAX" sheetId="7" state="visible" r:id="rId7"/>
    <sheet xmlns:r="http://schemas.openxmlformats.org/officeDocument/2006/relationships" name="_ADMIN_SCHEMA" sheetId="8" state="hidden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₹&quot;#,##0.00"/>
    <numFmt numFmtId="165" formatCode="0.0%"/>
    <numFmt numFmtId="166" formatCode="dd-mmm-yyyy"/>
  </numFmts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40" customWidth="1" min="3" max="3"/>
    <col width="26" customWidth="1" min="4" max="4"/>
    <col width="10" customWidth="1" min="5" max="5"/>
    <col width="15" customWidth="1" min="6" max="6"/>
    <col width="13" customWidth="1" min="7" max="7"/>
    <col width="13" customWidth="1" min="8" max="8"/>
    <col width="13" customWidth="1" min="9" max="9"/>
    <col width="13" customWidth="1" min="10" max="10"/>
    <col width="32" customWidth="1" min="11" max="11"/>
    <col width="28" customWidth="1" min="12" max="12"/>
    <col width="13" customWidth="1" min="13" max="13"/>
  </cols>
  <sheetData>
    <row r="1">
      <c r="A1" s="1" t="inlineStr">
        <is>
          <t>PRODUCTS</t>
        </is>
      </c>
    </row>
    <row r="2">
      <c r="A2" s="2" t="inlineStr">
        <is>
          <t>Happy Hatch data file - written by the forms app. Open it in the app (Open workbook) and entries save into this file.</t>
        </is>
      </c>
    </row>
    <row r="4">
      <c r="A4" s="3" t="inlineStr">
        <is>
          <t>Product Code</t>
        </is>
      </c>
      <c r="B4" s="3" t="inlineStr">
        <is>
          <t>Product Name</t>
        </is>
      </c>
      <c r="C4" s="3" t="inlineStr">
        <is>
          <t>Specification</t>
        </is>
      </c>
      <c r="D4" s="3" t="inlineStr">
        <is>
          <t>Available Colours</t>
        </is>
      </c>
      <c r="E4" s="3" t="inlineStr">
        <is>
          <t>In Stock</t>
        </is>
      </c>
      <c r="F4" s="3" t="inlineStr">
        <is>
          <t>Onboard Price</t>
        </is>
      </c>
      <c r="G4" s="3" t="inlineStr">
        <is>
          <t>Profitability Percentage</t>
        </is>
      </c>
      <c r="H4" s="3" t="inlineStr">
        <is>
          <t>Net Price</t>
        </is>
      </c>
      <c r="I4" s="3" t="inlineStr">
        <is>
          <t>Market Price</t>
        </is>
      </c>
      <c r="J4" s="3" t="inlineStr">
        <is>
          <t>Revenue</t>
        </is>
      </c>
      <c r="K4" s="3" t="inlineStr">
        <is>
          <t>Photo File</t>
        </is>
      </c>
      <c r="L4" s="3" t="inlineStr">
        <is>
          <t>Remarks</t>
        </is>
      </c>
    </row>
    <row r="5">
      <c r="A5" t="inlineStr">
        <is>
          <t>HH101</t>
        </is>
      </c>
      <c r="B5" t="inlineStr">
        <is>
          <t>AIR Blower</t>
        </is>
      </c>
      <c r="E5">
        <f>SUMIFS(PURCHASE!$E$5:$E$2000,PURCHASE!$C$5:$C$2000,A5)-SUMIFS(SALES_ITEMS!$G$5:$G$2000,SALES_ITEMS!$C$5:$C$2000,A5)</f>
        <v/>
      </c>
      <c r="F5" s="4">
        <f>IF(COUNTIFS(PURCHASE!$C$5:$C$2000,A5,PURCHASE!$E$5:$E$2000,"&gt;0")=0,0,IFERROR(LOOKUP(2,1/((PURCHASE!$C$5:$C$2000=A5)*(PURCHASE!$E$5:$E$2000&gt;0)*(PURCHASE!$B$5:$B$2000=SUMPRODUCT(MAX((PURCHASE!$C$5:$C$2000=A5)*(PURCHASE!$E$5:$E$2000&gt;0)*PURCHASE!$B$5:$B$2000)))),PURCHASE!$L$5:$L$2000),0))</f>
        <v/>
      </c>
      <c r="G5" s="5" t="n">
        <v>0.2</v>
      </c>
      <c r="H5" s="4">
        <f>F5*(1+G5)</f>
        <v/>
      </c>
      <c r="I5" s="4" t="n"/>
      <c r="J5" s="4">
        <f>H5-F5</f>
        <v/>
      </c>
      <c r="K5" t="inlineStr">
        <is>
          <t>Product_Photos/HH101.jpg</t>
        </is>
      </c>
    </row>
    <row r="6">
      <c r="A6" t="inlineStr">
        <is>
          <t>HH102</t>
        </is>
      </c>
      <c r="B6" t="inlineStr">
        <is>
          <t>AITOS Whisk</t>
        </is>
      </c>
      <c r="E6">
        <f>SUMIFS(PURCHASE!$E$5:$E$2000,PURCHASE!$C$5:$C$2000,A6)-SUMIFS(SALES_ITEMS!$G$5:$G$2000,SALES_ITEMS!$C$5:$C$2000,A6)</f>
        <v/>
      </c>
      <c r="F6" s="4">
        <f>IF(COUNTIFS(PURCHASE!$C$5:$C$2000,A6,PURCHASE!$E$5:$E$2000,"&gt;0")=0,0,IFERROR(LOOKUP(2,1/((PURCHASE!$C$5:$C$2000=A6)*(PURCHASE!$E$5:$E$2000&gt;0)*(PURCHASE!$B$5:$B$2000=SUMPRODUCT(MAX((PURCHASE!$C$5:$C$2000=A6)*(PURCHASE!$E$5:$E$2000&gt;0)*PURCHASE!$B$5:$B$2000)))),PURCHASE!$L$5:$L$2000),0))</f>
        <v/>
      </c>
      <c r="G6" s="5" t="n">
        <v>0.2</v>
      </c>
      <c r="H6" s="4">
        <f>F6*(1+G6)</f>
        <v/>
      </c>
      <c r="I6" s="4" t="n"/>
      <c r="J6" s="4">
        <f>H6-F6</f>
        <v/>
      </c>
      <c r="K6" t="inlineStr">
        <is>
          <t>Product_Photos/HH102.jpg</t>
        </is>
      </c>
    </row>
    <row r="7">
      <c r="A7" t="inlineStr">
        <is>
          <t>HH103</t>
        </is>
      </c>
      <c r="B7" t="inlineStr">
        <is>
          <t>Artificial Plant</t>
        </is>
      </c>
      <c r="E7">
        <f>SUMIFS(PURCHASE!$E$5:$E$2000,PURCHASE!$C$5:$C$2000,A7)-SUMIFS(SALES_ITEMS!$G$5:$G$2000,SALES_ITEMS!$C$5:$C$2000,A7)</f>
        <v/>
      </c>
      <c r="F7" s="4">
        <f>IF(COUNTIFS(PURCHASE!$C$5:$C$2000,A7,PURCHASE!$E$5:$E$2000,"&gt;0")=0,0,IFERROR(LOOKUP(2,1/((PURCHASE!$C$5:$C$2000=A7)*(PURCHASE!$E$5:$E$2000&gt;0)*(PURCHASE!$B$5:$B$2000=SUMPRODUCT(MAX((PURCHASE!$C$5:$C$2000=A7)*(PURCHASE!$E$5:$E$2000&gt;0)*PURCHASE!$B$5:$B$2000)))),PURCHASE!$L$5:$L$2000),0))</f>
        <v/>
      </c>
      <c r="G7" s="5" t="n">
        <v>0.2</v>
      </c>
      <c r="H7" s="4">
        <f>F7*(1+G7)</f>
        <v/>
      </c>
      <c r="I7" s="4" t="n"/>
      <c r="J7" s="4">
        <f>H7-F7</f>
        <v/>
      </c>
      <c r="K7" t="inlineStr">
        <is>
          <t>Product_Photos/HH103.jpg</t>
        </is>
      </c>
    </row>
    <row r="8">
      <c r="A8" t="inlineStr">
        <is>
          <t>HH104</t>
        </is>
      </c>
      <c r="B8" t="inlineStr">
        <is>
          <t>BDO: Storage box Lengthy</t>
        </is>
      </c>
      <c r="D8" t="inlineStr">
        <is>
          <t>Blue, Pink, White</t>
        </is>
      </c>
      <c r="E8">
        <f>SUMIFS(PURCHASE!$E$5:$E$2000,PURCHASE!$C$5:$C$2000,A8)-SUMIFS(SALES_ITEMS!$G$5:$G$2000,SALES_ITEMS!$C$5:$C$2000,A8)</f>
        <v/>
      </c>
      <c r="F8" s="4">
        <f>IF(COUNTIFS(PURCHASE!$C$5:$C$2000,A8,PURCHASE!$E$5:$E$2000,"&gt;0")=0,0,IFERROR(LOOKUP(2,1/((PURCHASE!$C$5:$C$2000=A8)*(PURCHASE!$E$5:$E$2000&gt;0)*(PURCHASE!$B$5:$B$2000=SUMPRODUCT(MAX((PURCHASE!$C$5:$C$2000=A8)*(PURCHASE!$E$5:$E$2000&gt;0)*PURCHASE!$B$5:$B$2000)))),PURCHASE!$L$5:$L$2000),0))</f>
        <v/>
      </c>
      <c r="G8" s="5" t="n">
        <v>0.2</v>
      </c>
      <c r="H8" s="4">
        <f>F8*(1+G8)</f>
        <v/>
      </c>
      <c r="I8" s="4" t="n"/>
      <c r="J8" s="4">
        <f>H8-F8</f>
        <v/>
      </c>
      <c r="K8" t="inlineStr">
        <is>
          <t>Product_Photos/HH104.jpg</t>
        </is>
      </c>
    </row>
    <row r="9">
      <c r="A9" t="inlineStr">
        <is>
          <t>HH105</t>
        </is>
      </c>
      <c r="B9" t="inlineStr">
        <is>
          <t>BDO: Storage box Wide</t>
        </is>
      </c>
      <c r="D9" t="inlineStr">
        <is>
          <t>Blue, Pink, White</t>
        </is>
      </c>
      <c r="E9">
        <f>SUMIFS(PURCHASE!$E$5:$E$2000,PURCHASE!$C$5:$C$2000,A9)-SUMIFS(SALES_ITEMS!$G$5:$G$2000,SALES_ITEMS!$C$5:$C$2000,A9)</f>
        <v/>
      </c>
      <c r="F9" s="4">
        <f>IF(COUNTIFS(PURCHASE!$C$5:$C$2000,A9,PURCHASE!$E$5:$E$2000,"&gt;0")=0,0,IFERROR(LOOKUP(2,1/((PURCHASE!$C$5:$C$2000=A9)*(PURCHASE!$E$5:$E$2000&gt;0)*(PURCHASE!$B$5:$B$2000=SUMPRODUCT(MAX((PURCHASE!$C$5:$C$2000=A9)*(PURCHASE!$E$5:$E$2000&gt;0)*PURCHASE!$B$5:$B$2000)))),PURCHASE!$L$5:$L$2000),0))</f>
        <v/>
      </c>
      <c r="G9" s="5" t="n">
        <v>0.2</v>
      </c>
      <c r="H9" s="4">
        <f>F9*(1+G9)</f>
        <v/>
      </c>
      <c r="I9" s="4" t="n"/>
      <c r="J9" s="4">
        <f>H9-F9</f>
        <v/>
      </c>
      <c r="K9" t="inlineStr">
        <is>
          <t>Product_Photos/HH105.jpg</t>
        </is>
      </c>
    </row>
    <row r="10">
      <c r="A10" t="inlineStr">
        <is>
          <t>HH106</t>
        </is>
      </c>
      <c r="B10" t="inlineStr">
        <is>
          <t>BDO: Wave pattern toilet brush</t>
        </is>
      </c>
      <c r="E10">
        <f>SUMIFS(PURCHASE!$E$5:$E$2000,PURCHASE!$C$5:$C$2000,A10)-SUMIFS(SALES_ITEMS!$G$5:$G$2000,SALES_ITEMS!$C$5:$C$2000,A10)</f>
        <v/>
      </c>
      <c r="F10" s="4">
        <f>IF(COUNTIFS(PURCHASE!$C$5:$C$2000,A10,PURCHASE!$E$5:$E$2000,"&gt;0")=0,0,IFERROR(LOOKUP(2,1/((PURCHASE!$C$5:$C$2000=A10)*(PURCHASE!$E$5:$E$2000&gt;0)*(PURCHASE!$B$5:$B$2000=SUMPRODUCT(MAX((PURCHASE!$C$5:$C$2000=A10)*(PURCHASE!$E$5:$E$2000&gt;0)*PURCHASE!$B$5:$B$2000)))),PURCHASE!$L$5:$L$2000),0))</f>
        <v/>
      </c>
      <c r="G10" s="5" t="n">
        <v>0.2</v>
      </c>
      <c r="H10" s="4">
        <f>F10*(1+G10)</f>
        <v/>
      </c>
      <c r="I10" s="4" t="n"/>
      <c r="J10" s="4">
        <f>H10-F10</f>
        <v/>
      </c>
      <c r="K10" t="inlineStr">
        <is>
          <t>Product_Photos/HH106.jpg</t>
        </is>
      </c>
    </row>
    <row r="11">
      <c r="A11" t="inlineStr">
        <is>
          <t>HH107</t>
        </is>
      </c>
      <c r="B11" t="inlineStr">
        <is>
          <t>Big Basket - White</t>
        </is>
      </c>
      <c r="E11">
        <f>SUMIFS(PURCHASE!$E$5:$E$2000,PURCHASE!$C$5:$C$2000,A11)-SUMIFS(SALES_ITEMS!$G$5:$G$2000,SALES_ITEMS!$C$5:$C$2000,A11)</f>
        <v/>
      </c>
      <c r="F11" s="4">
        <f>IF(COUNTIFS(PURCHASE!$C$5:$C$2000,A11,PURCHASE!$E$5:$E$2000,"&gt;0")=0,0,IFERROR(LOOKUP(2,1/((PURCHASE!$C$5:$C$2000=A11)*(PURCHASE!$E$5:$E$2000&gt;0)*(PURCHASE!$B$5:$B$2000=SUMPRODUCT(MAX((PURCHASE!$C$5:$C$2000=A11)*(PURCHASE!$E$5:$E$2000&gt;0)*PURCHASE!$B$5:$B$2000)))),PURCHASE!$L$5:$L$2000),0))</f>
        <v/>
      </c>
      <c r="G11" s="5" t="n">
        <v>0.2</v>
      </c>
      <c r="H11" s="4">
        <f>F11*(1+G11)</f>
        <v/>
      </c>
      <c r="I11" s="4" t="n"/>
      <c r="J11" s="4">
        <f>H11-F11</f>
        <v/>
      </c>
      <c r="K11" t="inlineStr">
        <is>
          <t>Product_Photos/HH107.jpg</t>
        </is>
      </c>
    </row>
    <row r="12">
      <c r="A12" t="inlineStr">
        <is>
          <t>HH108</t>
        </is>
      </c>
      <c r="B12" t="inlineStr">
        <is>
          <t>Cheese knife</t>
        </is>
      </c>
      <c r="E12">
        <f>SUMIFS(PURCHASE!$E$5:$E$2000,PURCHASE!$C$5:$C$2000,A12)-SUMIFS(SALES_ITEMS!$G$5:$G$2000,SALES_ITEMS!$C$5:$C$2000,A12)</f>
        <v/>
      </c>
      <c r="F12" s="4">
        <f>IF(COUNTIFS(PURCHASE!$C$5:$C$2000,A12,PURCHASE!$E$5:$E$2000,"&gt;0")=0,0,IFERROR(LOOKUP(2,1/((PURCHASE!$C$5:$C$2000=A12)*(PURCHASE!$E$5:$E$2000&gt;0)*(PURCHASE!$B$5:$B$2000=SUMPRODUCT(MAX((PURCHASE!$C$5:$C$2000=A12)*(PURCHASE!$E$5:$E$2000&gt;0)*PURCHASE!$B$5:$B$2000)))),PURCHASE!$L$5:$L$2000),0))</f>
        <v/>
      </c>
      <c r="G12" s="5" t="n">
        <v>0.2</v>
      </c>
      <c r="H12" s="4">
        <f>F12*(1+G12)</f>
        <v/>
      </c>
      <c r="I12" s="4" t="n"/>
      <c r="J12" s="4">
        <f>H12-F12</f>
        <v/>
      </c>
      <c r="K12" t="inlineStr">
        <is>
          <t>Product_Photos/HH108.jpg</t>
        </is>
      </c>
    </row>
    <row r="13">
      <c r="A13" t="inlineStr">
        <is>
          <t>HH109</t>
        </is>
      </c>
      <c r="B13" t="inlineStr">
        <is>
          <t>Cleaning cloth</t>
        </is>
      </c>
      <c r="E13">
        <f>SUMIFS(PURCHASE!$E$5:$E$2000,PURCHASE!$C$5:$C$2000,A13)-SUMIFS(SALES_ITEMS!$G$5:$G$2000,SALES_ITEMS!$C$5:$C$2000,A13)</f>
        <v/>
      </c>
      <c r="F13" s="4">
        <f>IF(COUNTIFS(PURCHASE!$C$5:$C$2000,A13,PURCHASE!$E$5:$E$2000,"&gt;0")=0,0,IFERROR(LOOKUP(2,1/((PURCHASE!$C$5:$C$2000=A13)*(PURCHASE!$E$5:$E$2000&gt;0)*(PURCHASE!$B$5:$B$2000=SUMPRODUCT(MAX((PURCHASE!$C$5:$C$2000=A13)*(PURCHASE!$E$5:$E$2000&gt;0)*PURCHASE!$B$5:$B$2000)))),PURCHASE!$L$5:$L$2000),0))</f>
        <v/>
      </c>
      <c r="G13" s="5" t="n">
        <v>0.2</v>
      </c>
      <c r="H13" s="4">
        <f>F13*(1+G13)</f>
        <v/>
      </c>
      <c r="I13" s="4" t="n"/>
      <c r="J13" s="4">
        <f>H13-F13</f>
        <v/>
      </c>
      <c r="K13" t="inlineStr">
        <is>
          <t>Product_Photos/HH109.jpg</t>
        </is>
      </c>
    </row>
    <row r="14">
      <c r="A14" t="inlineStr">
        <is>
          <t>HH110</t>
        </is>
      </c>
      <c r="B14" t="inlineStr">
        <is>
          <t>Clip</t>
        </is>
      </c>
      <c r="E14">
        <f>SUMIFS(PURCHASE!$E$5:$E$2000,PURCHASE!$C$5:$C$2000,A14)-SUMIFS(SALES_ITEMS!$G$5:$G$2000,SALES_ITEMS!$C$5:$C$2000,A14)</f>
        <v/>
      </c>
      <c r="F14" s="4">
        <f>IF(COUNTIFS(PURCHASE!$C$5:$C$2000,A14,PURCHASE!$E$5:$E$2000,"&gt;0")=0,0,IFERROR(LOOKUP(2,1/((PURCHASE!$C$5:$C$2000=A14)*(PURCHASE!$E$5:$E$2000&gt;0)*(PURCHASE!$B$5:$B$2000=SUMPRODUCT(MAX((PURCHASE!$C$5:$C$2000=A14)*(PURCHASE!$E$5:$E$2000&gt;0)*PURCHASE!$B$5:$B$2000)))),PURCHASE!$L$5:$L$2000),0))</f>
        <v/>
      </c>
      <c r="G14" s="5" t="n">
        <v>0.2</v>
      </c>
      <c r="H14" s="4">
        <f>F14*(1+G14)</f>
        <v/>
      </c>
      <c r="I14" s="4" t="n"/>
      <c r="J14" s="4">
        <f>H14-F14</f>
        <v/>
      </c>
      <c r="K14" t="inlineStr">
        <is>
          <t>Product_Photos/HH110.jpg</t>
        </is>
      </c>
    </row>
    <row r="15">
      <c r="A15" t="inlineStr">
        <is>
          <t>HH111</t>
        </is>
      </c>
      <c r="B15" t="inlineStr">
        <is>
          <t>Contay - Mini utensil set</t>
        </is>
      </c>
      <c r="E15">
        <f>SUMIFS(PURCHASE!$E$5:$E$2000,PURCHASE!$C$5:$C$2000,A15)-SUMIFS(SALES_ITEMS!$G$5:$G$2000,SALES_ITEMS!$C$5:$C$2000,A15)</f>
        <v/>
      </c>
      <c r="F15" s="4">
        <f>IF(COUNTIFS(PURCHASE!$C$5:$C$2000,A15,PURCHASE!$E$5:$E$2000,"&gt;0")=0,0,IFERROR(LOOKUP(2,1/((PURCHASE!$C$5:$C$2000=A15)*(PURCHASE!$E$5:$E$2000&gt;0)*(PURCHASE!$B$5:$B$2000=SUMPRODUCT(MAX((PURCHASE!$C$5:$C$2000=A15)*(PURCHASE!$E$5:$E$2000&gt;0)*PURCHASE!$B$5:$B$2000)))),PURCHASE!$L$5:$L$2000),0))</f>
        <v/>
      </c>
      <c r="G15" s="5" t="n">
        <v>0.2</v>
      </c>
      <c r="H15" s="4">
        <f>F15*(1+G15)</f>
        <v/>
      </c>
      <c r="I15" s="4" t="n"/>
      <c r="J15" s="4">
        <f>H15-F15</f>
        <v/>
      </c>
      <c r="K15" t="inlineStr">
        <is>
          <t>Product_Photos/HH111.jpg</t>
        </is>
      </c>
    </row>
    <row r="16">
      <c r="A16" t="inlineStr">
        <is>
          <t>HH112</t>
        </is>
      </c>
      <c r="B16" t="inlineStr">
        <is>
          <t>Cooling towel</t>
        </is>
      </c>
      <c r="E16">
        <f>SUMIFS(PURCHASE!$E$5:$E$2000,PURCHASE!$C$5:$C$2000,A16)-SUMIFS(SALES_ITEMS!$G$5:$G$2000,SALES_ITEMS!$C$5:$C$2000,A16)</f>
        <v/>
      </c>
      <c r="F16" s="4">
        <f>IF(COUNTIFS(PURCHASE!$C$5:$C$2000,A16,PURCHASE!$E$5:$E$2000,"&gt;0")=0,0,IFERROR(LOOKUP(2,1/((PURCHASE!$C$5:$C$2000=A16)*(PURCHASE!$E$5:$E$2000&gt;0)*(PURCHASE!$B$5:$B$2000=SUMPRODUCT(MAX((PURCHASE!$C$5:$C$2000=A16)*(PURCHASE!$E$5:$E$2000&gt;0)*PURCHASE!$B$5:$B$2000)))),PURCHASE!$L$5:$L$2000),0))</f>
        <v/>
      </c>
      <c r="G16" s="5" t="n">
        <v>0.2</v>
      </c>
      <c r="H16" s="4">
        <f>F16*(1+G16)</f>
        <v/>
      </c>
      <c r="I16" s="4" t="n"/>
      <c r="J16" s="4">
        <f>H16-F16</f>
        <v/>
      </c>
      <c r="K16" t="inlineStr">
        <is>
          <t>Product_Photos/HH112.jpg</t>
        </is>
      </c>
    </row>
    <row r="17">
      <c r="A17" t="inlineStr">
        <is>
          <t>HH113</t>
        </is>
      </c>
      <c r="B17" t="inlineStr">
        <is>
          <t>Crunches</t>
        </is>
      </c>
      <c r="E17">
        <f>SUMIFS(PURCHASE!$E$5:$E$2000,PURCHASE!$C$5:$C$2000,A17)-SUMIFS(SALES_ITEMS!$G$5:$G$2000,SALES_ITEMS!$C$5:$C$2000,A17)</f>
        <v/>
      </c>
      <c r="F17" s="4">
        <f>IF(COUNTIFS(PURCHASE!$C$5:$C$2000,A17,PURCHASE!$E$5:$E$2000,"&gt;0")=0,0,IFERROR(LOOKUP(2,1/((PURCHASE!$C$5:$C$2000=A17)*(PURCHASE!$E$5:$E$2000&gt;0)*(PURCHASE!$B$5:$B$2000=SUMPRODUCT(MAX((PURCHASE!$C$5:$C$2000=A17)*(PURCHASE!$E$5:$E$2000&gt;0)*PURCHASE!$B$5:$B$2000)))),PURCHASE!$L$5:$L$2000),0))</f>
        <v/>
      </c>
      <c r="G17" s="5" t="n">
        <v>0.2</v>
      </c>
      <c r="H17" s="4">
        <f>F17*(1+G17)</f>
        <v/>
      </c>
      <c r="I17" s="4" t="n"/>
      <c r="J17" s="4">
        <f>H17-F17</f>
        <v/>
      </c>
      <c r="K17" t="inlineStr">
        <is>
          <t>Product_Photos/HH113.jpg</t>
        </is>
      </c>
    </row>
    <row r="18">
      <c r="A18" t="inlineStr">
        <is>
          <t>HH114</t>
        </is>
      </c>
      <c r="B18" t="inlineStr">
        <is>
          <t>Cup Holder</t>
        </is>
      </c>
      <c r="E18">
        <f>SUMIFS(PURCHASE!$E$5:$E$2000,PURCHASE!$C$5:$C$2000,A18)-SUMIFS(SALES_ITEMS!$G$5:$G$2000,SALES_ITEMS!$C$5:$C$2000,A18)</f>
        <v/>
      </c>
      <c r="F18" s="4">
        <f>IF(COUNTIFS(PURCHASE!$C$5:$C$2000,A18,PURCHASE!$E$5:$E$2000,"&gt;0")=0,0,IFERROR(LOOKUP(2,1/((PURCHASE!$C$5:$C$2000=A18)*(PURCHASE!$E$5:$E$2000&gt;0)*(PURCHASE!$B$5:$B$2000=SUMPRODUCT(MAX((PURCHASE!$C$5:$C$2000=A18)*(PURCHASE!$E$5:$E$2000&gt;0)*PURCHASE!$B$5:$B$2000)))),PURCHASE!$L$5:$L$2000),0))</f>
        <v/>
      </c>
      <c r="G18" s="5" t="n">
        <v>0.2</v>
      </c>
      <c r="H18" s="4">
        <f>F18*(1+G18)</f>
        <v/>
      </c>
      <c r="I18" s="4" t="n"/>
      <c r="J18" s="4">
        <f>H18-F18</f>
        <v/>
      </c>
      <c r="K18" t="inlineStr">
        <is>
          <t>Product_Photos/HH114.jpg</t>
        </is>
      </c>
    </row>
    <row r="19">
      <c r="A19" t="inlineStr">
        <is>
          <t>HH115</t>
        </is>
      </c>
      <c r="B19" t="inlineStr">
        <is>
          <t>DEX - Brush</t>
        </is>
      </c>
      <c r="E19">
        <f>SUMIFS(PURCHASE!$E$5:$E$2000,PURCHASE!$C$5:$C$2000,A19)-SUMIFS(SALES_ITEMS!$G$5:$G$2000,SALES_ITEMS!$C$5:$C$2000,A19)</f>
        <v/>
      </c>
      <c r="F19" s="4">
        <f>IF(COUNTIFS(PURCHASE!$C$5:$C$2000,A19,PURCHASE!$E$5:$E$2000,"&gt;0")=0,0,IFERROR(LOOKUP(2,1/((PURCHASE!$C$5:$C$2000=A19)*(PURCHASE!$E$5:$E$2000&gt;0)*(PURCHASE!$B$5:$B$2000=SUMPRODUCT(MAX((PURCHASE!$C$5:$C$2000=A19)*(PURCHASE!$E$5:$E$2000&gt;0)*PURCHASE!$B$5:$B$2000)))),PURCHASE!$L$5:$L$2000),0))</f>
        <v/>
      </c>
      <c r="G19" s="5" t="n">
        <v>0.2</v>
      </c>
      <c r="H19" s="4">
        <f>F19*(1+G19)</f>
        <v/>
      </c>
      <c r="I19" s="4" t="n"/>
      <c r="J19" s="4">
        <f>H19-F19</f>
        <v/>
      </c>
      <c r="K19" t="inlineStr">
        <is>
          <t>Product_Photos/HH115.jpg</t>
        </is>
      </c>
    </row>
    <row r="20">
      <c r="A20" t="inlineStr">
        <is>
          <t>HH116</t>
        </is>
      </c>
      <c r="B20" t="inlineStr">
        <is>
          <t>Egg cutter</t>
        </is>
      </c>
      <c r="E20">
        <f>SUMIFS(PURCHASE!$E$5:$E$2000,PURCHASE!$C$5:$C$2000,A20)-SUMIFS(SALES_ITEMS!$G$5:$G$2000,SALES_ITEMS!$C$5:$C$2000,A20)</f>
        <v/>
      </c>
      <c r="F20" s="4">
        <f>IF(COUNTIFS(PURCHASE!$C$5:$C$2000,A20,PURCHASE!$E$5:$E$2000,"&gt;0")=0,0,IFERROR(LOOKUP(2,1/((PURCHASE!$C$5:$C$2000=A20)*(PURCHASE!$E$5:$E$2000&gt;0)*(PURCHASE!$B$5:$B$2000=SUMPRODUCT(MAX((PURCHASE!$C$5:$C$2000=A20)*(PURCHASE!$E$5:$E$2000&gt;0)*PURCHASE!$B$5:$B$2000)))),PURCHASE!$L$5:$L$2000),0))</f>
        <v/>
      </c>
      <c r="G20" s="5" t="n">
        <v>0.2</v>
      </c>
      <c r="H20" s="4">
        <f>F20*(1+G20)</f>
        <v/>
      </c>
      <c r="I20" s="4" t="n"/>
      <c r="J20" s="4">
        <f>H20-F20</f>
        <v/>
      </c>
      <c r="K20" t="inlineStr">
        <is>
          <t>Product_Photos/HH116.jpg</t>
        </is>
      </c>
    </row>
    <row r="21">
      <c r="A21" t="inlineStr">
        <is>
          <t>HH117</t>
        </is>
      </c>
      <c r="B21" t="inlineStr">
        <is>
          <t>Eye mask</t>
        </is>
      </c>
      <c r="E21">
        <f>SUMIFS(PURCHASE!$E$5:$E$2000,PURCHASE!$C$5:$C$2000,A21)-SUMIFS(SALES_ITEMS!$G$5:$G$2000,SALES_ITEMS!$C$5:$C$2000,A21)</f>
        <v/>
      </c>
      <c r="F21" s="4">
        <f>IF(COUNTIFS(PURCHASE!$C$5:$C$2000,A21,PURCHASE!$E$5:$E$2000,"&gt;0")=0,0,IFERROR(LOOKUP(2,1/((PURCHASE!$C$5:$C$2000=A21)*(PURCHASE!$E$5:$E$2000&gt;0)*(PURCHASE!$B$5:$B$2000=SUMPRODUCT(MAX((PURCHASE!$C$5:$C$2000=A21)*(PURCHASE!$E$5:$E$2000&gt;0)*PURCHASE!$B$5:$B$2000)))),PURCHASE!$L$5:$L$2000),0))</f>
        <v/>
      </c>
      <c r="G21" s="5" t="n">
        <v>0.2</v>
      </c>
      <c r="H21" s="4">
        <f>F21*(1+G21)</f>
        <v/>
      </c>
      <c r="I21" s="4" t="n"/>
      <c r="J21" s="4">
        <f>H21-F21</f>
        <v/>
      </c>
      <c r="K21" t="inlineStr">
        <is>
          <t>Product_Photos/HH117.jpg</t>
        </is>
      </c>
    </row>
    <row r="22">
      <c r="A22" t="inlineStr">
        <is>
          <t>HH118</t>
        </is>
      </c>
      <c r="B22" t="inlineStr">
        <is>
          <t>Folding Rack</t>
        </is>
      </c>
      <c r="E22">
        <f>SUMIFS(PURCHASE!$E$5:$E$2000,PURCHASE!$C$5:$C$2000,A22)-SUMIFS(SALES_ITEMS!$G$5:$G$2000,SALES_ITEMS!$C$5:$C$2000,A22)</f>
        <v/>
      </c>
      <c r="F22" s="4">
        <f>IF(COUNTIFS(PURCHASE!$C$5:$C$2000,A22,PURCHASE!$E$5:$E$2000,"&gt;0")=0,0,IFERROR(LOOKUP(2,1/((PURCHASE!$C$5:$C$2000=A22)*(PURCHASE!$E$5:$E$2000&gt;0)*(PURCHASE!$B$5:$B$2000=SUMPRODUCT(MAX((PURCHASE!$C$5:$C$2000=A22)*(PURCHASE!$E$5:$E$2000&gt;0)*PURCHASE!$B$5:$B$2000)))),PURCHASE!$L$5:$L$2000),0))</f>
        <v/>
      </c>
      <c r="G22" s="5" t="n">
        <v>0.2</v>
      </c>
      <c r="H22" s="4">
        <f>F22*(1+G22)</f>
        <v/>
      </c>
      <c r="I22" s="4" t="n"/>
      <c r="J22" s="4">
        <f>H22-F22</f>
        <v/>
      </c>
      <c r="K22" t="inlineStr">
        <is>
          <t>Product_Photos/HH118.jpg</t>
        </is>
      </c>
    </row>
    <row r="23">
      <c r="A23" t="inlineStr">
        <is>
          <t>HH119</t>
        </is>
      </c>
      <c r="B23" t="inlineStr">
        <is>
          <t>Foot pad for washing machine</t>
        </is>
      </c>
      <c r="E23">
        <f>SUMIFS(PURCHASE!$E$5:$E$2000,PURCHASE!$C$5:$C$2000,A23)-SUMIFS(SALES_ITEMS!$G$5:$G$2000,SALES_ITEMS!$C$5:$C$2000,A23)</f>
        <v/>
      </c>
      <c r="F23" s="4">
        <f>IF(COUNTIFS(PURCHASE!$C$5:$C$2000,A23,PURCHASE!$E$5:$E$2000,"&gt;0")=0,0,IFERROR(LOOKUP(2,1/((PURCHASE!$C$5:$C$2000=A23)*(PURCHASE!$E$5:$E$2000&gt;0)*(PURCHASE!$B$5:$B$2000=SUMPRODUCT(MAX((PURCHASE!$C$5:$C$2000=A23)*(PURCHASE!$E$5:$E$2000&gt;0)*PURCHASE!$B$5:$B$2000)))),PURCHASE!$L$5:$L$2000),0))</f>
        <v/>
      </c>
      <c r="G23" s="5" t="n">
        <v>0.2</v>
      </c>
      <c r="H23" s="4">
        <f>F23*(1+G23)</f>
        <v/>
      </c>
      <c r="I23" s="4" t="n"/>
      <c r="J23" s="4">
        <f>H23-F23</f>
        <v/>
      </c>
      <c r="K23" t="inlineStr">
        <is>
          <t>Product_Photos/HH119.jpg</t>
        </is>
      </c>
    </row>
    <row r="24">
      <c r="A24" t="inlineStr">
        <is>
          <t>HH120</t>
        </is>
      </c>
      <c r="B24" t="inlineStr">
        <is>
          <t>Fridge storage bag</t>
        </is>
      </c>
      <c r="E24">
        <f>SUMIFS(PURCHASE!$E$5:$E$2000,PURCHASE!$C$5:$C$2000,A24)-SUMIFS(SALES_ITEMS!$G$5:$G$2000,SALES_ITEMS!$C$5:$C$2000,A24)</f>
        <v/>
      </c>
      <c r="F24" s="4">
        <f>IF(COUNTIFS(PURCHASE!$C$5:$C$2000,A24,PURCHASE!$E$5:$E$2000,"&gt;0")=0,0,IFERROR(LOOKUP(2,1/((PURCHASE!$C$5:$C$2000=A24)*(PURCHASE!$E$5:$E$2000&gt;0)*(PURCHASE!$B$5:$B$2000=SUMPRODUCT(MAX((PURCHASE!$C$5:$C$2000=A24)*(PURCHASE!$E$5:$E$2000&gt;0)*PURCHASE!$B$5:$B$2000)))),PURCHASE!$L$5:$L$2000),0))</f>
        <v/>
      </c>
      <c r="G24" s="5" t="n">
        <v>0.2</v>
      </c>
      <c r="H24" s="4">
        <f>F24*(1+G24)</f>
        <v/>
      </c>
      <c r="I24" s="4" t="n"/>
      <c r="J24" s="4">
        <f>H24-F24</f>
        <v/>
      </c>
      <c r="K24" t="inlineStr">
        <is>
          <t>Product_Photos/HH120.jpg</t>
        </is>
      </c>
    </row>
    <row r="25">
      <c r="A25" t="inlineStr">
        <is>
          <t>HH121</t>
        </is>
      </c>
      <c r="B25" t="inlineStr">
        <is>
          <t>Fun 4 pencil shaped pen holder</t>
        </is>
      </c>
      <c r="E25">
        <f>SUMIFS(PURCHASE!$E$5:$E$2000,PURCHASE!$C$5:$C$2000,A25)-SUMIFS(SALES_ITEMS!$G$5:$G$2000,SALES_ITEMS!$C$5:$C$2000,A25)</f>
        <v/>
      </c>
      <c r="F25" s="4">
        <f>IF(COUNTIFS(PURCHASE!$C$5:$C$2000,A25,PURCHASE!$E$5:$E$2000,"&gt;0")=0,0,IFERROR(LOOKUP(2,1/((PURCHASE!$C$5:$C$2000=A25)*(PURCHASE!$E$5:$E$2000&gt;0)*(PURCHASE!$B$5:$B$2000=SUMPRODUCT(MAX((PURCHASE!$C$5:$C$2000=A25)*(PURCHASE!$E$5:$E$2000&gt;0)*PURCHASE!$B$5:$B$2000)))),PURCHASE!$L$5:$L$2000),0))</f>
        <v/>
      </c>
      <c r="G25" s="5" t="n">
        <v>0.2</v>
      </c>
      <c r="H25" s="4">
        <f>F25*(1+G25)</f>
        <v/>
      </c>
      <c r="I25" s="4" t="n"/>
      <c r="J25" s="4">
        <f>H25-F25</f>
        <v/>
      </c>
      <c r="K25" t="inlineStr">
        <is>
          <t>Product_Photos/HH121.jpg</t>
        </is>
      </c>
    </row>
    <row r="26">
      <c r="A26" t="inlineStr">
        <is>
          <t>HH122</t>
        </is>
      </c>
      <c r="B26" t="inlineStr">
        <is>
          <t>Gap cleaning brush</t>
        </is>
      </c>
      <c r="E26">
        <f>SUMIFS(PURCHASE!$E$5:$E$2000,PURCHASE!$C$5:$C$2000,A26)-SUMIFS(SALES_ITEMS!$G$5:$G$2000,SALES_ITEMS!$C$5:$C$2000,A26)</f>
        <v/>
      </c>
      <c r="F26" s="4">
        <f>IF(COUNTIFS(PURCHASE!$C$5:$C$2000,A26,PURCHASE!$E$5:$E$2000,"&gt;0")=0,0,IFERROR(LOOKUP(2,1/((PURCHASE!$C$5:$C$2000=A26)*(PURCHASE!$E$5:$E$2000&gt;0)*(PURCHASE!$B$5:$B$2000=SUMPRODUCT(MAX((PURCHASE!$C$5:$C$2000=A26)*(PURCHASE!$E$5:$E$2000&gt;0)*PURCHASE!$B$5:$B$2000)))),PURCHASE!$L$5:$L$2000),0))</f>
        <v/>
      </c>
      <c r="G26" s="5" t="n">
        <v>0.2</v>
      </c>
      <c r="H26" s="4">
        <f>F26*(1+G26)</f>
        <v/>
      </c>
      <c r="I26" s="4" t="n"/>
      <c r="J26" s="4">
        <f>H26-F26</f>
        <v/>
      </c>
      <c r="K26" t="inlineStr">
        <is>
          <t>Product_Photos/HH122.jpg</t>
        </is>
      </c>
    </row>
    <row r="27">
      <c r="A27" t="inlineStr">
        <is>
          <t>HH123</t>
        </is>
      </c>
      <c r="B27" t="inlineStr">
        <is>
          <t>Garlic grater</t>
        </is>
      </c>
      <c r="E27">
        <f>SUMIFS(PURCHASE!$E$5:$E$2000,PURCHASE!$C$5:$C$2000,A27)-SUMIFS(SALES_ITEMS!$G$5:$G$2000,SALES_ITEMS!$C$5:$C$2000,A27)</f>
        <v/>
      </c>
      <c r="F27" s="4">
        <f>IF(COUNTIFS(PURCHASE!$C$5:$C$2000,A27,PURCHASE!$E$5:$E$2000,"&gt;0")=0,0,IFERROR(LOOKUP(2,1/((PURCHASE!$C$5:$C$2000=A27)*(PURCHASE!$E$5:$E$2000&gt;0)*(PURCHASE!$B$5:$B$2000=SUMPRODUCT(MAX((PURCHASE!$C$5:$C$2000=A27)*(PURCHASE!$E$5:$E$2000&gt;0)*PURCHASE!$B$5:$B$2000)))),PURCHASE!$L$5:$L$2000),0))</f>
        <v/>
      </c>
      <c r="G27" s="5" t="n">
        <v>0.2</v>
      </c>
      <c r="H27" s="4">
        <f>F27*(1+G27)</f>
        <v/>
      </c>
      <c r="I27" s="4" t="n"/>
      <c r="J27" s="4">
        <f>H27-F27</f>
        <v/>
      </c>
      <c r="K27" t="inlineStr">
        <is>
          <t>Product_Photos/HH123.jpg</t>
        </is>
      </c>
    </row>
    <row r="28">
      <c r="A28" t="inlineStr">
        <is>
          <t>HH124</t>
        </is>
      </c>
      <c r="B28" t="inlineStr">
        <is>
          <t>Hole-free wall mounted wall storage rack</t>
        </is>
      </c>
      <c r="E28">
        <f>SUMIFS(PURCHASE!$E$5:$E$2000,PURCHASE!$C$5:$C$2000,A28)-SUMIFS(SALES_ITEMS!$G$5:$G$2000,SALES_ITEMS!$C$5:$C$2000,A28)</f>
        <v/>
      </c>
      <c r="F28" s="4">
        <f>IF(COUNTIFS(PURCHASE!$C$5:$C$2000,A28,PURCHASE!$E$5:$E$2000,"&gt;0")=0,0,IFERROR(LOOKUP(2,1/((PURCHASE!$C$5:$C$2000=A28)*(PURCHASE!$E$5:$E$2000&gt;0)*(PURCHASE!$B$5:$B$2000=SUMPRODUCT(MAX((PURCHASE!$C$5:$C$2000=A28)*(PURCHASE!$E$5:$E$2000&gt;0)*PURCHASE!$B$5:$B$2000)))),PURCHASE!$L$5:$L$2000),0))</f>
        <v/>
      </c>
      <c r="G28" s="5" t="n">
        <v>0.2</v>
      </c>
      <c r="H28" s="4">
        <f>F28*(1+G28)</f>
        <v/>
      </c>
      <c r="I28" s="4" t="n"/>
      <c r="J28" s="4">
        <f>H28-F28</f>
        <v/>
      </c>
      <c r="K28" t="inlineStr">
        <is>
          <t>Product_Photos/HH124.jpg</t>
        </is>
      </c>
    </row>
    <row r="29">
      <c r="A29" t="inlineStr">
        <is>
          <t>HH125</t>
        </is>
      </c>
      <c r="B29" t="inlineStr">
        <is>
          <t>Jig saw puzzle</t>
        </is>
      </c>
      <c r="E29">
        <f>SUMIFS(PURCHASE!$E$5:$E$2000,PURCHASE!$C$5:$C$2000,A29)-SUMIFS(SALES_ITEMS!$G$5:$G$2000,SALES_ITEMS!$C$5:$C$2000,A29)</f>
        <v/>
      </c>
      <c r="F29" s="4">
        <f>IF(COUNTIFS(PURCHASE!$C$5:$C$2000,A29,PURCHASE!$E$5:$E$2000,"&gt;0")=0,0,IFERROR(LOOKUP(2,1/((PURCHASE!$C$5:$C$2000=A29)*(PURCHASE!$E$5:$E$2000&gt;0)*(PURCHASE!$B$5:$B$2000=SUMPRODUCT(MAX((PURCHASE!$C$5:$C$2000=A29)*(PURCHASE!$E$5:$E$2000&gt;0)*PURCHASE!$B$5:$B$2000)))),PURCHASE!$L$5:$L$2000),0))</f>
        <v/>
      </c>
      <c r="G29" s="5" t="n">
        <v>0.2</v>
      </c>
      <c r="H29" s="4">
        <f>F29*(1+G29)</f>
        <v/>
      </c>
      <c r="I29" s="4" t="n"/>
      <c r="J29" s="4">
        <f>H29-F29</f>
        <v/>
      </c>
      <c r="K29" t="inlineStr">
        <is>
          <t>Product_Photos/HH125.jpg</t>
        </is>
      </c>
    </row>
    <row r="30">
      <c r="A30" t="inlineStr">
        <is>
          <t>HH126</t>
        </is>
      </c>
      <c r="B30" t="inlineStr">
        <is>
          <t>Maxtop shoulder massager</t>
        </is>
      </c>
      <c r="E30">
        <f>SUMIFS(PURCHASE!$E$5:$E$2000,PURCHASE!$C$5:$C$2000,A30)-SUMIFS(SALES_ITEMS!$G$5:$G$2000,SALES_ITEMS!$C$5:$C$2000,A30)</f>
        <v/>
      </c>
      <c r="F30" s="4">
        <f>IF(COUNTIFS(PURCHASE!$C$5:$C$2000,A30,PURCHASE!$E$5:$E$2000,"&gt;0")=0,0,IFERROR(LOOKUP(2,1/((PURCHASE!$C$5:$C$2000=A30)*(PURCHASE!$E$5:$E$2000&gt;0)*(PURCHASE!$B$5:$B$2000=SUMPRODUCT(MAX((PURCHASE!$C$5:$C$2000=A30)*(PURCHASE!$E$5:$E$2000&gt;0)*PURCHASE!$B$5:$B$2000)))),PURCHASE!$L$5:$L$2000),0))</f>
        <v/>
      </c>
      <c r="G30" s="5" t="n">
        <v>0.2</v>
      </c>
      <c r="H30" s="4">
        <f>F30*(1+G30)</f>
        <v/>
      </c>
      <c r="I30" s="4" t="n"/>
      <c r="J30" s="4">
        <f>H30-F30</f>
        <v/>
      </c>
      <c r="K30" t="inlineStr">
        <is>
          <t>Product_Photos/HH126.jpg</t>
        </is>
      </c>
    </row>
    <row r="31">
      <c r="A31" t="inlineStr">
        <is>
          <t>HH127</t>
        </is>
      </c>
      <c r="B31" t="inlineStr">
        <is>
          <t>Mengmengabi cute rabbit bottle</t>
        </is>
      </c>
      <c r="E31">
        <f>SUMIFS(PURCHASE!$E$5:$E$2000,PURCHASE!$C$5:$C$2000,A31)-SUMIFS(SALES_ITEMS!$G$5:$G$2000,SALES_ITEMS!$C$5:$C$2000,A31)</f>
        <v/>
      </c>
      <c r="F31" s="4">
        <f>IF(COUNTIFS(PURCHASE!$C$5:$C$2000,A31,PURCHASE!$E$5:$E$2000,"&gt;0")=0,0,IFERROR(LOOKUP(2,1/((PURCHASE!$C$5:$C$2000=A31)*(PURCHASE!$E$5:$E$2000&gt;0)*(PURCHASE!$B$5:$B$2000=SUMPRODUCT(MAX((PURCHASE!$C$5:$C$2000=A31)*(PURCHASE!$E$5:$E$2000&gt;0)*PURCHASE!$B$5:$B$2000)))),PURCHASE!$L$5:$L$2000),0))</f>
        <v/>
      </c>
      <c r="G31" s="5" t="n">
        <v>0.2</v>
      </c>
      <c r="H31" s="4">
        <f>F31*(1+G31)</f>
        <v/>
      </c>
      <c r="I31" s="4" t="n"/>
      <c r="J31" s="4">
        <f>H31-F31</f>
        <v/>
      </c>
      <c r="K31" t="inlineStr">
        <is>
          <t>Product_Photos/HH127.jpg</t>
        </is>
      </c>
    </row>
    <row r="32">
      <c r="A32" t="inlineStr">
        <is>
          <t>HH128</t>
        </is>
      </c>
      <c r="B32" t="inlineStr">
        <is>
          <t>Mesh tray</t>
        </is>
      </c>
      <c r="E32">
        <f>SUMIFS(PURCHASE!$E$5:$E$2000,PURCHASE!$C$5:$C$2000,A32)-SUMIFS(SALES_ITEMS!$G$5:$G$2000,SALES_ITEMS!$C$5:$C$2000,A32)</f>
        <v/>
      </c>
      <c r="F32" s="4">
        <f>IF(COUNTIFS(PURCHASE!$C$5:$C$2000,A32,PURCHASE!$E$5:$E$2000,"&gt;0")=0,0,IFERROR(LOOKUP(2,1/((PURCHASE!$C$5:$C$2000=A32)*(PURCHASE!$E$5:$E$2000&gt;0)*(PURCHASE!$B$5:$B$2000=SUMPRODUCT(MAX((PURCHASE!$C$5:$C$2000=A32)*(PURCHASE!$E$5:$E$2000&gt;0)*PURCHASE!$B$5:$B$2000)))),PURCHASE!$L$5:$L$2000),0))</f>
        <v/>
      </c>
      <c r="G32" s="5" t="n">
        <v>0.2</v>
      </c>
      <c r="H32" s="4">
        <f>F32*(1+G32)</f>
        <v/>
      </c>
      <c r="I32" s="4" t="n"/>
      <c r="J32" s="4">
        <f>H32-F32</f>
        <v/>
      </c>
      <c r="K32" t="inlineStr">
        <is>
          <t>Product_Photos/HH128.jpg</t>
        </is>
      </c>
    </row>
    <row r="33">
      <c r="A33" t="inlineStr">
        <is>
          <t>HH129</t>
        </is>
      </c>
      <c r="B33" t="inlineStr">
        <is>
          <t>Muscle massager</t>
        </is>
      </c>
      <c r="E33">
        <f>SUMIFS(PURCHASE!$E$5:$E$2000,PURCHASE!$C$5:$C$2000,A33)-SUMIFS(SALES_ITEMS!$G$5:$G$2000,SALES_ITEMS!$C$5:$C$2000,A33)</f>
        <v/>
      </c>
      <c r="F33" s="4">
        <f>IF(COUNTIFS(PURCHASE!$C$5:$C$2000,A33,PURCHASE!$E$5:$E$2000,"&gt;0")=0,0,IFERROR(LOOKUP(2,1/((PURCHASE!$C$5:$C$2000=A33)*(PURCHASE!$E$5:$E$2000&gt;0)*(PURCHASE!$B$5:$B$2000=SUMPRODUCT(MAX((PURCHASE!$C$5:$C$2000=A33)*(PURCHASE!$E$5:$E$2000&gt;0)*PURCHASE!$B$5:$B$2000)))),PURCHASE!$L$5:$L$2000),0))</f>
        <v/>
      </c>
      <c r="G33" s="5" t="n">
        <v>0.2</v>
      </c>
      <c r="H33" s="4">
        <f>F33*(1+G33)</f>
        <v/>
      </c>
      <c r="I33" s="4" t="n"/>
      <c r="J33" s="4">
        <f>H33-F33</f>
        <v/>
      </c>
      <c r="K33" t="inlineStr">
        <is>
          <t>Product_Photos/HH129.jpg</t>
        </is>
      </c>
    </row>
    <row r="34">
      <c r="A34" t="inlineStr">
        <is>
          <t>HH130</t>
        </is>
      </c>
      <c r="B34" t="inlineStr">
        <is>
          <t>NICE Bottle</t>
        </is>
      </c>
      <c r="E34">
        <f>SUMIFS(PURCHASE!$E$5:$E$2000,PURCHASE!$C$5:$C$2000,A34)-SUMIFS(SALES_ITEMS!$G$5:$G$2000,SALES_ITEMS!$C$5:$C$2000,A34)</f>
        <v/>
      </c>
      <c r="F34" s="4">
        <f>IF(COUNTIFS(PURCHASE!$C$5:$C$2000,A34,PURCHASE!$E$5:$E$2000,"&gt;0")=0,0,IFERROR(LOOKUP(2,1/((PURCHASE!$C$5:$C$2000=A34)*(PURCHASE!$E$5:$E$2000&gt;0)*(PURCHASE!$B$5:$B$2000=SUMPRODUCT(MAX((PURCHASE!$C$5:$C$2000=A34)*(PURCHASE!$E$5:$E$2000&gt;0)*PURCHASE!$B$5:$B$2000)))),PURCHASE!$L$5:$L$2000),0))</f>
        <v/>
      </c>
      <c r="G34" s="5" t="n">
        <v>0.2</v>
      </c>
      <c r="H34" s="4">
        <f>F34*(1+G34)</f>
        <v/>
      </c>
      <c r="I34" s="4" t="n"/>
      <c r="J34" s="4">
        <f>H34-F34</f>
        <v/>
      </c>
      <c r="K34" t="inlineStr">
        <is>
          <t>Product_Photos/HH130.jpg</t>
        </is>
      </c>
    </row>
    <row r="35">
      <c r="A35" t="inlineStr">
        <is>
          <t>HH131</t>
        </is>
      </c>
      <c r="B35" t="inlineStr">
        <is>
          <t>Peeler - P</t>
        </is>
      </c>
      <c r="E35">
        <f>SUMIFS(PURCHASE!$E$5:$E$2000,PURCHASE!$C$5:$C$2000,A35)-SUMIFS(SALES_ITEMS!$G$5:$G$2000,SALES_ITEMS!$C$5:$C$2000,A35)</f>
        <v/>
      </c>
      <c r="F35" s="4">
        <f>IF(COUNTIFS(PURCHASE!$C$5:$C$2000,A35,PURCHASE!$E$5:$E$2000,"&gt;0")=0,0,IFERROR(LOOKUP(2,1/((PURCHASE!$C$5:$C$2000=A35)*(PURCHASE!$E$5:$E$2000&gt;0)*(PURCHASE!$B$5:$B$2000=SUMPRODUCT(MAX((PURCHASE!$C$5:$C$2000=A35)*(PURCHASE!$E$5:$E$2000&gt;0)*PURCHASE!$B$5:$B$2000)))),PURCHASE!$L$5:$L$2000),0))</f>
        <v/>
      </c>
      <c r="G35" s="5" t="n">
        <v>0.2</v>
      </c>
      <c r="H35" s="4">
        <f>F35*(1+G35)</f>
        <v/>
      </c>
      <c r="I35" s="4" t="n"/>
      <c r="J35" s="4">
        <f>H35-F35</f>
        <v/>
      </c>
      <c r="K35" t="inlineStr">
        <is>
          <t>Product_Photos/HH131.jpg</t>
        </is>
      </c>
    </row>
    <row r="36">
      <c r="A36" t="inlineStr">
        <is>
          <t>HH132</t>
        </is>
      </c>
      <c r="B36" t="inlineStr">
        <is>
          <t>Peeler - Y</t>
        </is>
      </c>
      <c r="E36">
        <f>SUMIFS(PURCHASE!$E$5:$E$2000,PURCHASE!$C$5:$C$2000,A36)-SUMIFS(SALES_ITEMS!$G$5:$G$2000,SALES_ITEMS!$C$5:$C$2000,A36)</f>
        <v/>
      </c>
      <c r="F36" s="4">
        <f>IF(COUNTIFS(PURCHASE!$C$5:$C$2000,A36,PURCHASE!$E$5:$E$2000,"&gt;0")=0,0,IFERROR(LOOKUP(2,1/((PURCHASE!$C$5:$C$2000=A36)*(PURCHASE!$E$5:$E$2000&gt;0)*(PURCHASE!$B$5:$B$2000=SUMPRODUCT(MAX((PURCHASE!$C$5:$C$2000=A36)*(PURCHASE!$E$5:$E$2000&gt;0)*PURCHASE!$B$5:$B$2000)))),PURCHASE!$L$5:$L$2000),0))</f>
        <v/>
      </c>
      <c r="G36" s="5" t="n">
        <v>0.2</v>
      </c>
      <c r="H36" s="4">
        <f>F36*(1+G36)</f>
        <v/>
      </c>
      <c r="I36" s="4" t="n"/>
      <c r="J36" s="4">
        <f>H36-F36</f>
        <v/>
      </c>
      <c r="K36" t="inlineStr">
        <is>
          <t>Product_Photos/HH132.jpg</t>
        </is>
      </c>
    </row>
    <row r="37">
      <c r="A37" t="inlineStr">
        <is>
          <t>HH133</t>
        </is>
      </c>
      <c r="B37" t="inlineStr">
        <is>
          <t>Portable Sealing Machine</t>
        </is>
      </c>
      <c r="E37">
        <f>SUMIFS(PURCHASE!$E$5:$E$2000,PURCHASE!$C$5:$C$2000,A37)-SUMIFS(SALES_ITEMS!$G$5:$G$2000,SALES_ITEMS!$C$5:$C$2000,A37)</f>
        <v/>
      </c>
      <c r="F37" s="4">
        <f>IF(COUNTIFS(PURCHASE!$C$5:$C$2000,A37,PURCHASE!$E$5:$E$2000,"&gt;0")=0,0,IFERROR(LOOKUP(2,1/((PURCHASE!$C$5:$C$2000=A37)*(PURCHASE!$E$5:$E$2000&gt;0)*(PURCHASE!$B$5:$B$2000=SUMPRODUCT(MAX((PURCHASE!$C$5:$C$2000=A37)*(PURCHASE!$E$5:$E$2000&gt;0)*PURCHASE!$B$5:$B$2000)))),PURCHASE!$L$5:$L$2000),0))</f>
        <v/>
      </c>
      <c r="G37" s="5" t="n">
        <v>0.2</v>
      </c>
      <c r="H37" s="4">
        <f>F37*(1+G37)</f>
        <v/>
      </c>
      <c r="I37" s="4" t="n"/>
      <c r="J37" s="4">
        <f>H37-F37</f>
        <v/>
      </c>
      <c r="K37" t="inlineStr">
        <is>
          <t>Product_Photos/HH133.jpg</t>
        </is>
      </c>
    </row>
    <row r="38">
      <c r="A38" t="inlineStr">
        <is>
          <t>HH134</t>
        </is>
      </c>
      <c r="B38" t="inlineStr">
        <is>
          <t>Push toy</t>
        </is>
      </c>
      <c r="E38">
        <f>SUMIFS(PURCHASE!$E$5:$E$2000,PURCHASE!$C$5:$C$2000,A38)-SUMIFS(SALES_ITEMS!$G$5:$G$2000,SALES_ITEMS!$C$5:$C$2000,A38)</f>
        <v/>
      </c>
      <c r="F38" s="4">
        <f>IF(COUNTIFS(PURCHASE!$C$5:$C$2000,A38,PURCHASE!$E$5:$E$2000,"&gt;0")=0,0,IFERROR(LOOKUP(2,1/((PURCHASE!$C$5:$C$2000=A38)*(PURCHASE!$E$5:$E$2000&gt;0)*(PURCHASE!$B$5:$B$2000=SUMPRODUCT(MAX((PURCHASE!$C$5:$C$2000=A38)*(PURCHASE!$E$5:$E$2000&gt;0)*PURCHASE!$B$5:$B$2000)))),PURCHASE!$L$5:$L$2000),0))</f>
        <v/>
      </c>
      <c r="G38" s="5" t="n">
        <v>0.2</v>
      </c>
      <c r="H38" s="4">
        <f>F38*(1+G38)</f>
        <v/>
      </c>
      <c r="I38" s="4" t="n"/>
      <c r="J38" s="4">
        <f>H38-F38</f>
        <v/>
      </c>
      <c r="K38" t="inlineStr">
        <is>
          <t>Product_Photos/HH134.jpg</t>
        </is>
      </c>
    </row>
    <row r="39">
      <c r="A39" t="inlineStr">
        <is>
          <t>HH135</t>
        </is>
      </c>
      <c r="B39" t="inlineStr">
        <is>
          <t>Rolling Chair</t>
        </is>
      </c>
      <c r="E39">
        <f>SUMIFS(PURCHASE!$E$5:$E$2000,PURCHASE!$C$5:$C$2000,A39)-SUMIFS(SALES_ITEMS!$G$5:$G$2000,SALES_ITEMS!$C$5:$C$2000,A39)</f>
        <v/>
      </c>
      <c r="F39" s="4">
        <f>IF(COUNTIFS(PURCHASE!$C$5:$C$2000,A39,PURCHASE!$E$5:$E$2000,"&gt;0")=0,0,IFERROR(LOOKUP(2,1/((PURCHASE!$C$5:$C$2000=A39)*(PURCHASE!$E$5:$E$2000&gt;0)*(PURCHASE!$B$5:$B$2000=SUMPRODUCT(MAX((PURCHASE!$C$5:$C$2000=A39)*(PURCHASE!$E$5:$E$2000&gt;0)*PURCHASE!$B$5:$B$2000)))),PURCHASE!$L$5:$L$2000),0))</f>
        <v/>
      </c>
      <c r="G39" s="5" t="n">
        <v>0.2</v>
      </c>
      <c r="H39" s="4">
        <f>F39*(1+G39)</f>
        <v/>
      </c>
      <c r="I39" s="4" t="n"/>
      <c r="J39" s="4">
        <f>H39-F39</f>
        <v/>
      </c>
      <c r="K39" t="inlineStr">
        <is>
          <t>Product_Photos/HH135.jpg</t>
        </is>
      </c>
    </row>
    <row r="40">
      <c r="A40" t="inlineStr">
        <is>
          <t>HH136</t>
        </is>
      </c>
      <c r="B40" t="inlineStr">
        <is>
          <t>Scalp massager</t>
        </is>
      </c>
      <c r="E40">
        <f>SUMIFS(PURCHASE!$E$5:$E$2000,PURCHASE!$C$5:$C$2000,A40)-SUMIFS(SALES_ITEMS!$G$5:$G$2000,SALES_ITEMS!$C$5:$C$2000,A40)</f>
        <v/>
      </c>
      <c r="F40" s="4">
        <f>IF(COUNTIFS(PURCHASE!$C$5:$C$2000,A40,PURCHASE!$E$5:$E$2000,"&gt;0")=0,0,IFERROR(LOOKUP(2,1/((PURCHASE!$C$5:$C$2000=A40)*(PURCHASE!$E$5:$E$2000&gt;0)*(PURCHASE!$B$5:$B$2000=SUMPRODUCT(MAX((PURCHASE!$C$5:$C$2000=A40)*(PURCHASE!$E$5:$E$2000&gt;0)*PURCHASE!$B$5:$B$2000)))),PURCHASE!$L$5:$L$2000),0))</f>
        <v/>
      </c>
      <c r="G40" s="5" t="n">
        <v>0.2</v>
      </c>
      <c r="H40" s="4">
        <f>F40*(1+G40)</f>
        <v/>
      </c>
      <c r="I40" s="4" t="n"/>
      <c r="J40" s="4">
        <f>H40-F40</f>
        <v/>
      </c>
      <c r="K40" t="inlineStr">
        <is>
          <t>Product_Photos/HH136.jpg</t>
        </is>
      </c>
    </row>
    <row r="41">
      <c r="A41" t="inlineStr">
        <is>
          <t>HH137</t>
        </is>
      </c>
      <c r="B41" t="inlineStr">
        <is>
          <t>School bag</t>
        </is>
      </c>
      <c r="E41">
        <f>SUMIFS(PURCHASE!$E$5:$E$2000,PURCHASE!$C$5:$C$2000,A41)-SUMIFS(SALES_ITEMS!$G$5:$G$2000,SALES_ITEMS!$C$5:$C$2000,A41)</f>
        <v/>
      </c>
      <c r="F41" s="4">
        <f>IF(COUNTIFS(PURCHASE!$C$5:$C$2000,A41,PURCHASE!$E$5:$E$2000,"&gt;0")=0,0,IFERROR(LOOKUP(2,1/((PURCHASE!$C$5:$C$2000=A41)*(PURCHASE!$E$5:$E$2000&gt;0)*(PURCHASE!$B$5:$B$2000=SUMPRODUCT(MAX((PURCHASE!$C$5:$C$2000=A41)*(PURCHASE!$E$5:$E$2000&gt;0)*PURCHASE!$B$5:$B$2000)))),PURCHASE!$L$5:$L$2000),0))</f>
        <v/>
      </c>
      <c r="G41" s="5" t="n">
        <v>0.2</v>
      </c>
      <c r="H41" s="4">
        <f>F41*(1+G41)</f>
        <v/>
      </c>
      <c r="I41" s="4" t="n"/>
      <c r="J41" s="4">
        <f>H41-F41</f>
        <v/>
      </c>
      <c r="K41" t="inlineStr">
        <is>
          <t>Product_Photos/HH137.jpg</t>
        </is>
      </c>
    </row>
    <row r="42">
      <c r="A42" t="inlineStr">
        <is>
          <t>HH138</t>
        </is>
      </c>
      <c r="B42" t="inlineStr">
        <is>
          <t>Stanley cup</t>
        </is>
      </c>
      <c r="E42">
        <f>SUMIFS(PURCHASE!$E$5:$E$2000,PURCHASE!$C$5:$C$2000,A42)-SUMIFS(SALES_ITEMS!$G$5:$G$2000,SALES_ITEMS!$C$5:$C$2000,A42)</f>
        <v/>
      </c>
      <c r="F42" s="4">
        <f>IF(COUNTIFS(PURCHASE!$C$5:$C$2000,A42,PURCHASE!$E$5:$E$2000,"&gt;0")=0,0,IFERROR(LOOKUP(2,1/((PURCHASE!$C$5:$C$2000=A42)*(PURCHASE!$E$5:$E$2000&gt;0)*(PURCHASE!$B$5:$B$2000=SUMPRODUCT(MAX((PURCHASE!$C$5:$C$2000=A42)*(PURCHASE!$E$5:$E$2000&gt;0)*PURCHASE!$B$5:$B$2000)))),PURCHASE!$L$5:$L$2000),0))</f>
        <v/>
      </c>
      <c r="G42" s="5" t="n">
        <v>0.2</v>
      </c>
      <c r="H42" s="4">
        <f>F42*(1+G42)</f>
        <v/>
      </c>
      <c r="I42" s="4" t="n"/>
      <c r="J42" s="4">
        <f>H42-F42</f>
        <v/>
      </c>
      <c r="K42" t="inlineStr">
        <is>
          <t>Product_Photos/HH138.jpg</t>
        </is>
      </c>
    </row>
    <row r="43">
      <c r="A43" t="inlineStr">
        <is>
          <t>HH139</t>
        </is>
      </c>
      <c r="B43" t="inlineStr">
        <is>
          <t>Table</t>
        </is>
      </c>
      <c r="E43">
        <f>SUMIFS(PURCHASE!$E$5:$E$2000,PURCHASE!$C$5:$C$2000,A43)-SUMIFS(SALES_ITEMS!$G$5:$G$2000,SALES_ITEMS!$C$5:$C$2000,A43)</f>
        <v/>
      </c>
      <c r="F43" s="4">
        <f>IF(COUNTIFS(PURCHASE!$C$5:$C$2000,A43,PURCHASE!$E$5:$E$2000,"&gt;0")=0,0,IFERROR(LOOKUP(2,1/((PURCHASE!$C$5:$C$2000=A43)*(PURCHASE!$E$5:$E$2000&gt;0)*(PURCHASE!$B$5:$B$2000=SUMPRODUCT(MAX((PURCHASE!$C$5:$C$2000=A43)*(PURCHASE!$E$5:$E$2000&gt;0)*PURCHASE!$B$5:$B$2000)))),PURCHASE!$L$5:$L$2000),0))</f>
        <v/>
      </c>
      <c r="G43" s="5" t="n">
        <v>0.2</v>
      </c>
      <c r="H43" s="4">
        <f>F43*(1+G43)</f>
        <v/>
      </c>
      <c r="I43" s="4" t="n"/>
      <c r="J43" s="4">
        <f>H43-F43</f>
        <v/>
      </c>
      <c r="K43" t="inlineStr">
        <is>
          <t>Product_Photos/HH139.jpg</t>
        </is>
      </c>
    </row>
    <row r="44">
      <c r="A44" t="inlineStr">
        <is>
          <t>HH140</t>
        </is>
      </c>
      <c r="B44" t="inlineStr">
        <is>
          <t>Toothpick Dispenser - Cartoon</t>
        </is>
      </c>
      <c r="E44">
        <f>SUMIFS(PURCHASE!$E$5:$E$2000,PURCHASE!$C$5:$C$2000,A44)-SUMIFS(SALES_ITEMS!$G$5:$G$2000,SALES_ITEMS!$C$5:$C$2000,A44)</f>
        <v/>
      </c>
      <c r="F44" s="4">
        <f>IF(COUNTIFS(PURCHASE!$C$5:$C$2000,A44,PURCHASE!$E$5:$E$2000,"&gt;0")=0,0,IFERROR(LOOKUP(2,1/((PURCHASE!$C$5:$C$2000=A44)*(PURCHASE!$E$5:$E$2000&gt;0)*(PURCHASE!$B$5:$B$2000=SUMPRODUCT(MAX((PURCHASE!$C$5:$C$2000=A44)*(PURCHASE!$E$5:$E$2000&gt;0)*PURCHASE!$B$5:$B$2000)))),PURCHASE!$L$5:$L$2000),0))</f>
        <v/>
      </c>
      <c r="G44" s="5" t="n">
        <v>0.2</v>
      </c>
      <c r="H44" s="4">
        <f>F44*(1+G44)</f>
        <v/>
      </c>
      <c r="I44" s="4" t="n"/>
      <c r="J44" s="4">
        <f>H44-F44</f>
        <v/>
      </c>
      <c r="K44" t="inlineStr">
        <is>
          <t>Product_Photos/HH140.jpg</t>
        </is>
      </c>
    </row>
    <row r="45">
      <c r="A45" t="inlineStr">
        <is>
          <t>HH141</t>
        </is>
      </c>
      <c r="B45" t="inlineStr">
        <is>
          <t>Two bottle holding bag</t>
        </is>
      </c>
      <c r="E45">
        <f>SUMIFS(PURCHASE!$E$5:$E$2000,PURCHASE!$C$5:$C$2000,A45)-SUMIFS(SALES_ITEMS!$G$5:$G$2000,SALES_ITEMS!$C$5:$C$2000,A45)</f>
        <v/>
      </c>
      <c r="F45" s="4">
        <f>IF(COUNTIFS(PURCHASE!$C$5:$C$2000,A45,PURCHASE!$E$5:$E$2000,"&gt;0")=0,0,IFERROR(LOOKUP(2,1/((PURCHASE!$C$5:$C$2000=A45)*(PURCHASE!$E$5:$E$2000&gt;0)*(PURCHASE!$B$5:$B$2000=SUMPRODUCT(MAX((PURCHASE!$C$5:$C$2000=A45)*(PURCHASE!$E$5:$E$2000&gt;0)*PURCHASE!$B$5:$B$2000)))),PURCHASE!$L$5:$L$2000),0))</f>
        <v/>
      </c>
      <c r="G45" s="5" t="n">
        <v>0.2</v>
      </c>
      <c r="H45" s="4">
        <f>F45*(1+G45)</f>
        <v/>
      </c>
      <c r="I45" s="4" t="n"/>
      <c r="J45" s="4">
        <f>H45-F45</f>
        <v/>
      </c>
      <c r="K45" t="inlineStr">
        <is>
          <t>Product_Photos/HH141.jpg</t>
        </is>
      </c>
    </row>
    <row r="46">
      <c r="A46" t="inlineStr">
        <is>
          <t>HH142</t>
        </is>
      </c>
      <c r="B46" t="inlineStr">
        <is>
          <t>White plastic basket</t>
        </is>
      </c>
      <c r="E46">
        <f>SUMIFS(PURCHASE!$E$5:$E$2000,PURCHASE!$C$5:$C$2000,A46)-SUMIFS(SALES_ITEMS!$G$5:$G$2000,SALES_ITEMS!$C$5:$C$2000,A46)</f>
        <v/>
      </c>
      <c r="F46" s="4">
        <f>IF(COUNTIFS(PURCHASE!$C$5:$C$2000,A46,PURCHASE!$E$5:$E$2000,"&gt;0")=0,0,IFERROR(LOOKUP(2,1/((PURCHASE!$C$5:$C$2000=A46)*(PURCHASE!$E$5:$E$2000&gt;0)*(PURCHASE!$B$5:$B$2000=SUMPRODUCT(MAX((PURCHASE!$C$5:$C$2000=A46)*(PURCHASE!$E$5:$E$2000&gt;0)*PURCHASE!$B$5:$B$2000)))),PURCHASE!$L$5:$L$2000),0))</f>
        <v/>
      </c>
      <c r="G46" s="5" t="n">
        <v>0.2</v>
      </c>
      <c r="H46" s="4">
        <f>F46*(1+G46)</f>
        <v/>
      </c>
      <c r="I46" s="4" t="n"/>
      <c r="J46" s="4">
        <f>H46-F46</f>
        <v/>
      </c>
      <c r="K46" t="inlineStr">
        <is>
          <t>Product_Photos/HH142.jpg</t>
        </is>
      </c>
    </row>
    <row r="47">
      <c r="F47" s="4" t="n"/>
      <c r="G47" s="5" t="n"/>
      <c r="H47" s="4" t="n"/>
      <c r="I47" s="4" t="n"/>
      <c r="J47" s="4" t="n"/>
    </row>
    <row r="48">
      <c r="F48" s="4" t="n"/>
      <c r="G48" s="5" t="n"/>
      <c r="H48" s="4" t="n"/>
      <c r="I48" s="4" t="n"/>
      <c r="J48" s="4" t="n"/>
    </row>
    <row r="49">
      <c r="F49" s="4" t="n"/>
      <c r="G49" s="5" t="n"/>
      <c r="H49" s="4" t="n"/>
      <c r="I49" s="4" t="n"/>
      <c r="J49" s="4" t="n"/>
    </row>
    <row r="50">
      <c r="F50" s="4" t="n"/>
      <c r="G50" s="5" t="n"/>
      <c r="H50" s="4" t="n"/>
      <c r="I50" s="4" t="n"/>
      <c r="J50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1" customWidth="1" min="3" max="3"/>
    <col width="14" customWidth="1" min="4" max="4"/>
    <col width="13" customWidth="1" min="5" max="5"/>
    <col width="14" customWidth="1" min="6" max="6"/>
    <col width="14" customWidth="1" min="7" max="7"/>
    <col width="14" customWidth="1" min="8" max="8"/>
    <col width="15" customWidth="1" min="9" max="9"/>
    <col width="16" customWidth="1" min="10" max="10"/>
    <col width="18" customWidth="1" min="11" max="11"/>
    <col width="17" customWidth="1" min="12" max="12"/>
    <col width="13" customWidth="1" min="13" max="13"/>
  </cols>
  <sheetData>
    <row r="1">
      <c r="A1" s="1" t="inlineStr">
        <is>
          <t>SALES</t>
        </is>
      </c>
    </row>
    <row r="2">
      <c r="A2" s="2" t="inlineStr">
        <is>
          <t>Happy Hatch data file - written by the forms app. One row per sales order (header).</t>
        </is>
      </c>
    </row>
    <row r="4">
      <c r="A4" s="3" t="inlineStr">
        <is>
          <t>Order Number</t>
        </is>
      </c>
      <c r="B4" s="3" t="inlineStr">
        <is>
          <t>Date of Sale</t>
        </is>
      </c>
      <c r="C4" s="3" t="inlineStr">
        <is>
          <t>Customer Number</t>
        </is>
      </c>
      <c r="D4" s="3" t="inlineStr">
        <is>
          <t>Tax Code</t>
        </is>
      </c>
      <c r="E4" s="3" t="inlineStr">
        <is>
          <t>GST (%)</t>
        </is>
      </c>
      <c r="F4" s="3" t="inlineStr">
        <is>
          <t>CGST (%)</t>
        </is>
      </c>
      <c r="G4" s="3" t="inlineStr">
        <is>
          <t>SGST (%)</t>
        </is>
      </c>
      <c r="H4" s="3" t="inlineStr">
        <is>
          <t>IGST (%)</t>
        </is>
      </c>
      <c r="I4" s="3" t="inlineStr">
        <is>
          <t>Sub Total</t>
        </is>
      </c>
      <c r="J4" s="3" t="inlineStr">
        <is>
          <t>Tax Amount</t>
        </is>
      </c>
      <c r="K4" s="3" t="inlineStr">
        <is>
          <t>Total Amount</t>
        </is>
      </c>
      <c r="L4" s="3" t="inlineStr">
        <is>
          <t>Invoice No.</t>
        </is>
      </c>
      <c r="M4" s="3" t="inlineStr">
        <is>
          <t>Remarks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9" customWidth="1" min="5" max="5"/>
    <col width="12" customWidth="1" min="6" max="6"/>
    <col width="14" customWidth="1" min="7" max="7"/>
    <col width="12" customWidth="1" min="8" max="8"/>
    <col width="16" customWidth="1" min="9" max="9"/>
    <col width="13" customWidth="1" min="10" max="10"/>
  </cols>
  <sheetData>
    <row r="1">
      <c r="A1" s="1" t="inlineStr">
        <is>
          <t>SALES_ITEMS</t>
        </is>
      </c>
    </row>
    <row r="2">
      <c r="A2" s="2" t="inlineStr">
        <is>
          <t>Happy Hatch data file - written by the forms app. One row per product on an order (linked by Order Number).</t>
        </is>
      </c>
    </row>
    <row r="4">
      <c r="A4" s="3" t="inlineStr">
        <is>
          <t>Order Number</t>
        </is>
      </c>
      <c r="B4" s="3" t="inlineStr">
        <is>
          <t>Date of Sale</t>
        </is>
      </c>
      <c r="C4" s="3" t="inlineStr">
        <is>
          <t>Product Code</t>
        </is>
      </c>
      <c r="D4" s="3" t="inlineStr">
        <is>
          <t>Product Name</t>
        </is>
      </c>
      <c r="E4" s="3" t="inlineStr">
        <is>
          <t>Product price</t>
        </is>
      </c>
      <c r="F4" s="3" t="inlineStr">
        <is>
          <t>MRP</t>
        </is>
      </c>
      <c r="G4" s="3" t="inlineStr">
        <is>
          <t>Quantity</t>
        </is>
      </c>
      <c r="H4" s="3" t="inlineStr">
        <is>
          <t>Unit</t>
        </is>
      </c>
      <c r="I4" s="3" t="inlineStr">
        <is>
          <t>Net Amount</t>
        </is>
      </c>
      <c r="J4" s="3" t="inlineStr">
        <is>
          <t>Colour</t>
        </is>
      </c>
      <c r="K4" s="3" t="inlineStr">
        <is>
          <t>Remarks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20" customWidth="1" min="3" max="3"/>
    <col width="12" customWidth="1" min="4" max="4"/>
    <col width="12" customWidth="1" min="5" max="5"/>
    <col width="13" customWidth="1" min="6" max="6"/>
    <col width="12" customWidth="1" min="7" max="7"/>
    <col width="13" customWidth="1" min="8" max="8"/>
  </cols>
  <sheetData>
    <row r="1">
      <c r="A1" s="1" t="inlineStr">
        <is>
          <t>CUSTOMERS</t>
        </is>
      </c>
    </row>
    <row r="2">
      <c r="A2" s="2" t="inlineStr">
        <is>
          <t>Happy Hatch data file - written by the forms app. Open it in the app (Open workbook) and entries save into this file.</t>
        </is>
      </c>
    </row>
    <row r="4">
      <c r="A4" s="3" t="inlineStr">
        <is>
          <t>Customer Number</t>
        </is>
      </c>
      <c r="B4" s="3" t="inlineStr">
        <is>
          <t>Customer Name</t>
        </is>
      </c>
      <c r="C4" s="3" t="inlineStr">
        <is>
          <t>Contact Person</t>
        </is>
      </c>
      <c r="D4" s="3" t="inlineStr">
        <is>
          <t>Phone</t>
        </is>
      </c>
      <c r="E4" s="3" t="inlineStr">
        <is>
          <t>Email</t>
        </is>
      </c>
      <c r="F4" s="3" t="inlineStr">
        <is>
          <t>Address</t>
        </is>
      </c>
      <c r="G4" s="3" t="inlineStr">
        <is>
          <t>City</t>
        </is>
      </c>
      <c r="H4" s="3" t="inlineStr">
        <is>
          <t>Remarks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4" customWidth="1" min="3" max="3"/>
    <col width="44" customWidth="1" min="4" max="4"/>
    <col width="10" customWidth="1" min="5" max="5"/>
    <col width="9" customWidth="1" min="6" max="6"/>
    <col width="13" customWidth="1" min="7" max="7"/>
    <col width="16" customWidth="1" min="8" max="8"/>
    <col width="16" customWidth="1" min="9" max="9"/>
    <col width="16" customWidth="1" min="10" max="10"/>
    <col width="15" customWidth="1" min="11" max="11"/>
    <col width="18" customWidth="1" min="12" max="12"/>
    <col width="16" customWidth="1" min="13" max="13"/>
    <col width="20" customWidth="1" min="14" max="14"/>
    <col width="16" customWidth="1" min="15" max="15"/>
    <col width="28" customWidth="1" min="16" max="16"/>
    <col width="24" customWidth="1" min="17" max="17"/>
  </cols>
  <sheetData>
    <row r="1">
      <c r="A1" s="1" t="inlineStr">
        <is>
          <t>PURCHASE</t>
        </is>
      </c>
    </row>
    <row r="2">
      <c r="A2" s="2" t="inlineStr">
        <is>
          <t>Happy Hatch data file - written by the forms app. Open it in the app (Open workbook) and entries save into this file.</t>
        </is>
      </c>
    </row>
    <row r="4">
      <c r="A4" s="3" t="inlineStr">
        <is>
          <t>Purchase Number</t>
        </is>
      </c>
      <c r="B4" s="3" t="inlineStr">
        <is>
          <t>Date of Purchase</t>
        </is>
      </c>
      <c r="C4" s="3" t="inlineStr">
        <is>
          <t>Product Code</t>
        </is>
      </c>
      <c r="D4" s="3" t="inlineStr">
        <is>
          <t>Product Name</t>
        </is>
      </c>
      <c r="E4" s="3" t="inlineStr">
        <is>
          <t>Quantity</t>
        </is>
      </c>
      <c r="F4" s="3" t="inlineStr">
        <is>
          <t>Unit</t>
        </is>
      </c>
      <c r="G4" s="3" t="inlineStr">
        <is>
          <t>Unit Cost</t>
        </is>
      </c>
      <c r="H4" s="3" t="inlineStr">
        <is>
          <t>Total Unit Price</t>
        </is>
      </c>
      <c r="I4" s="3" t="inlineStr">
        <is>
          <t>Freight Charges</t>
        </is>
      </c>
      <c r="J4" s="3" t="inlineStr">
        <is>
          <t>Other Charges</t>
        </is>
      </c>
      <c r="K4" s="3" t="inlineStr">
        <is>
          <t>Total Cost</t>
        </is>
      </c>
      <c r="L4" s="3" t="inlineStr">
        <is>
          <t>Onboard Price/Unit</t>
        </is>
      </c>
      <c r="M4" s="3" t="inlineStr">
        <is>
          <t>Shipper Number</t>
        </is>
      </c>
      <c r="N4" s="3" t="inlineStr">
        <is>
          <t>Shipper Name</t>
        </is>
      </c>
      <c r="O4" s="3" t="inlineStr">
        <is>
          <t>Shipper Contact</t>
        </is>
      </c>
      <c r="P4" s="3" t="inlineStr">
        <is>
          <t>Shipper Email</t>
        </is>
      </c>
      <c r="Q4" s="3" t="inlineStr">
        <is>
          <t>Remarks</t>
        </is>
      </c>
    </row>
    <row r="5">
      <c r="A5" t="inlineStr">
        <is>
          <t>PUR-001</t>
        </is>
      </c>
      <c r="B5" s="7" t="n">
        <v>46319</v>
      </c>
      <c r="C5" t="inlineStr">
        <is>
          <t>HH101</t>
        </is>
      </c>
      <c r="D5">
        <f>IFERROR(INDEX(PRODUCTS!$B$5:$B$2000,MATCH(C5,PRODUCTS!$A$5:$A$2000,0)),"")</f>
        <v/>
      </c>
      <c r="E5" t="n">
        <v>6</v>
      </c>
      <c r="F5" t="inlineStr">
        <is>
          <t>Pcs</t>
        </is>
      </c>
      <c r="G5" s="4" t="n">
        <v>1</v>
      </c>
      <c r="H5" s="4" t="n">
        <v>6</v>
      </c>
      <c r="I5" s="4" t="n"/>
      <c r="J5" s="4" t="n"/>
      <c r="K5" s="4">
        <f>H5+I5+J5</f>
        <v/>
      </c>
      <c r="L5" s="4">
        <f>IF(E5&gt;0,K5/E5,0)</f>
        <v/>
      </c>
      <c r="N5">
        <f>IFERROR(INDEX(SHIPPER!$B$5:$B$2000,MATCH(M5,SHIPPER!$A$5:$A$2000,0)),"")</f>
        <v/>
      </c>
      <c r="O5">
        <f>IFERROR(INDEX(SHIPPER!$D$5:$D$2000,MATCH(M5,SHIPPER!$A$5:$A$2000,0)),"")</f>
        <v/>
      </c>
      <c r="P5">
        <f>IFERROR(INDEX(SHIPPER!$E$5:$E$2000,MATCH(M5,SHIPPER!$A$5:$A$2000,0)),"")</f>
        <v/>
      </c>
    </row>
    <row r="6">
      <c r="A6" t="inlineStr">
        <is>
          <t>PUR-002</t>
        </is>
      </c>
      <c r="B6" s="7" t="n">
        <v>46319</v>
      </c>
      <c r="C6" t="inlineStr">
        <is>
          <t>HH102</t>
        </is>
      </c>
      <c r="D6">
        <f>IFERROR(INDEX(PRODUCTS!$B$5:$B$2000,MATCH(C6,PRODUCTS!$A$5:$A$2000,0)),"")</f>
        <v/>
      </c>
      <c r="E6" t="n">
        <v>16</v>
      </c>
      <c r="F6" t="inlineStr">
        <is>
          <t>Pcs</t>
        </is>
      </c>
      <c r="G6" s="4" t="n">
        <v>1</v>
      </c>
      <c r="H6" s="4" t="n">
        <v>16</v>
      </c>
      <c r="I6" s="4" t="n"/>
      <c r="J6" s="4" t="n"/>
      <c r="K6" s="4">
        <f>H6+I6+J6</f>
        <v/>
      </c>
      <c r="L6" s="4">
        <f>IF(E6&gt;0,K6/E6,0)</f>
        <v/>
      </c>
      <c r="N6">
        <f>IFERROR(INDEX(SHIPPER!$B$5:$B$2000,MATCH(M6,SHIPPER!$A$5:$A$2000,0)),"")</f>
        <v/>
      </c>
      <c r="O6">
        <f>IFERROR(INDEX(SHIPPER!$D$5:$D$2000,MATCH(M6,SHIPPER!$A$5:$A$2000,0)),"")</f>
        <v/>
      </c>
      <c r="P6">
        <f>IFERROR(INDEX(SHIPPER!$E$5:$E$2000,MATCH(M6,SHIPPER!$A$5:$A$2000,0)),"")</f>
        <v/>
      </c>
    </row>
    <row r="7">
      <c r="A7" t="inlineStr">
        <is>
          <t>PUR-003</t>
        </is>
      </c>
      <c r="B7" s="7" t="n">
        <v>46319</v>
      </c>
      <c r="C7" t="inlineStr">
        <is>
          <t>HH103</t>
        </is>
      </c>
      <c r="D7">
        <f>IFERROR(INDEX(PRODUCTS!$B$5:$B$2000,MATCH(C7,PRODUCTS!$A$5:$A$2000,0)),"")</f>
        <v/>
      </c>
      <c r="E7" t="n">
        <v>24</v>
      </c>
      <c r="F7" t="inlineStr">
        <is>
          <t>Pcs</t>
        </is>
      </c>
      <c r="G7" s="4" t="n">
        <v>1</v>
      </c>
      <c r="H7" s="4" t="n">
        <v>24</v>
      </c>
      <c r="I7" s="4" t="n"/>
      <c r="J7" s="4" t="n"/>
      <c r="K7" s="4">
        <f>H7+I7+J7</f>
        <v/>
      </c>
      <c r="L7" s="4">
        <f>IF(E7&gt;0,K7/E7,0)</f>
        <v/>
      </c>
      <c r="N7">
        <f>IFERROR(INDEX(SHIPPER!$B$5:$B$2000,MATCH(M7,SHIPPER!$A$5:$A$2000,0)),"")</f>
        <v/>
      </c>
      <c r="O7">
        <f>IFERROR(INDEX(SHIPPER!$D$5:$D$2000,MATCH(M7,SHIPPER!$A$5:$A$2000,0)),"")</f>
        <v/>
      </c>
      <c r="P7">
        <f>IFERROR(INDEX(SHIPPER!$E$5:$E$2000,MATCH(M7,SHIPPER!$A$5:$A$2000,0)),"")</f>
        <v/>
      </c>
    </row>
    <row r="8">
      <c r="A8" t="inlineStr">
        <is>
          <t>PUR-004</t>
        </is>
      </c>
      <c r="B8" s="7" t="n">
        <v>46319</v>
      </c>
      <c r="C8" t="inlineStr">
        <is>
          <t>HH104</t>
        </is>
      </c>
      <c r="D8">
        <f>IFERROR(INDEX(PRODUCTS!$B$5:$B$2000,MATCH(C8,PRODUCTS!$A$5:$A$2000,0)),"")</f>
        <v/>
      </c>
      <c r="E8" t="n">
        <v>12</v>
      </c>
      <c r="F8" t="inlineStr">
        <is>
          <t>Pcs</t>
        </is>
      </c>
      <c r="G8" s="4" t="n">
        <v>1</v>
      </c>
      <c r="H8" s="4" t="n">
        <v>12</v>
      </c>
      <c r="I8" s="4" t="n"/>
      <c r="J8" s="4" t="n"/>
      <c r="K8" s="4">
        <f>H8+I8+J8</f>
        <v/>
      </c>
      <c r="L8" s="4">
        <f>IF(E8&gt;0,K8/E8,0)</f>
        <v/>
      </c>
      <c r="N8">
        <f>IFERROR(INDEX(SHIPPER!$B$5:$B$2000,MATCH(M8,SHIPPER!$A$5:$A$2000,0)),"")</f>
        <v/>
      </c>
      <c r="O8">
        <f>IFERROR(INDEX(SHIPPER!$D$5:$D$2000,MATCH(M8,SHIPPER!$A$5:$A$2000,0)),"")</f>
        <v/>
      </c>
      <c r="P8">
        <f>IFERROR(INDEX(SHIPPER!$E$5:$E$2000,MATCH(M8,SHIPPER!$A$5:$A$2000,0)),"")</f>
        <v/>
      </c>
    </row>
    <row r="9">
      <c r="A9" t="inlineStr">
        <is>
          <t>PUR-005</t>
        </is>
      </c>
      <c r="B9" s="7" t="n">
        <v>46319</v>
      </c>
      <c r="C9" t="inlineStr">
        <is>
          <t>HH105</t>
        </is>
      </c>
      <c r="D9">
        <f>IFERROR(INDEX(PRODUCTS!$B$5:$B$2000,MATCH(C9,PRODUCTS!$A$5:$A$2000,0)),"")</f>
        <v/>
      </c>
      <c r="E9" t="n">
        <v>15</v>
      </c>
      <c r="F9" t="inlineStr">
        <is>
          <t>Pcs</t>
        </is>
      </c>
      <c r="G9" s="4" t="n">
        <v>1</v>
      </c>
      <c r="H9" s="4" t="n">
        <v>15</v>
      </c>
      <c r="I9" s="4" t="n"/>
      <c r="J9" s="4" t="n"/>
      <c r="K9" s="4">
        <f>H9+I9+J9</f>
        <v/>
      </c>
      <c r="L9" s="4">
        <f>IF(E9&gt;0,K9/E9,0)</f>
        <v/>
      </c>
      <c r="N9">
        <f>IFERROR(INDEX(SHIPPER!$B$5:$B$2000,MATCH(M9,SHIPPER!$A$5:$A$2000,0)),"")</f>
        <v/>
      </c>
      <c r="O9">
        <f>IFERROR(INDEX(SHIPPER!$D$5:$D$2000,MATCH(M9,SHIPPER!$A$5:$A$2000,0)),"")</f>
        <v/>
      </c>
      <c r="P9">
        <f>IFERROR(INDEX(SHIPPER!$E$5:$E$2000,MATCH(M9,SHIPPER!$A$5:$A$2000,0)),"")</f>
        <v/>
      </c>
    </row>
    <row r="10">
      <c r="A10" t="inlineStr">
        <is>
          <t>PUR-006</t>
        </is>
      </c>
      <c r="B10" s="7" t="n">
        <v>46319</v>
      </c>
      <c r="C10" t="inlineStr">
        <is>
          <t>HH106</t>
        </is>
      </c>
      <c r="D10">
        <f>IFERROR(INDEX(PRODUCTS!$B$5:$B$2000,MATCH(C10,PRODUCTS!$A$5:$A$2000,0)),"")</f>
        <v/>
      </c>
      <c r="E10" t="n">
        <v>6</v>
      </c>
      <c r="F10" t="inlineStr">
        <is>
          <t>Pcs</t>
        </is>
      </c>
      <c r="G10" s="4" t="n">
        <v>1</v>
      </c>
      <c r="H10" s="4" t="n">
        <v>6</v>
      </c>
      <c r="I10" s="4" t="n"/>
      <c r="J10" s="4" t="n"/>
      <c r="K10" s="4">
        <f>H10+I10+J10</f>
        <v/>
      </c>
      <c r="L10" s="4">
        <f>IF(E10&gt;0,K10/E10,0)</f>
        <v/>
      </c>
      <c r="N10">
        <f>IFERROR(INDEX(SHIPPER!$B$5:$B$2000,MATCH(M10,SHIPPER!$A$5:$A$2000,0)),"")</f>
        <v/>
      </c>
      <c r="O10">
        <f>IFERROR(INDEX(SHIPPER!$D$5:$D$2000,MATCH(M10,SHIPPER!$A$5:$A$2000,0)),"")</f>
        <v/>
      </c>
      <c r="P10">
        <f>IFERROR(INDEX(SHIPPER!$E$5:$E$2000,MATCH(M10,SHIPPER!$A$5:$A$2000,0)),"")</f>
        <v/>
      </c>
    </row>
    <row r="11">
      <c r="A11" t="inlineStr">
        <is>
          <t>PUR-007</t>
        </is>
      </c>
      <c r="B11" s="7" t="n">
        <v>46319</v>
      </c>
      <c r="C11" t="inlineStr">
        <is>
          <t>HH107</t>
        </is>
      </c>
      <c r="D11">
        <f>IFERROR(INDEX(PRODUCTS!$B$5:$B$2000,MATCH(C11,PRODUCTS!$A$5:$A$2000,0)),"")</f>
        <v/>
      </c>
      <c r="E11" t="n">
        <v>6</v>
      </c>
      <c r="F11" t="inlineStr">
        <is>
          <t>Pcs</t>
        </is>
      </c>
      <c r="G11" s="4" t="n">
        <v>1</v>
      </c>
      <c r="H11" s="4" t="n">
        <v>6</v>
      </c>
      <c r="I11" s="4" t="n"/>
      <c r="J11" s="4" t="n"/>
      <c r="K11" s="4">
        <f>H11+I11+J11</f>
        <v/>
      </c>
      <c r="L11" s="4">
        <f>IF(E11&gt;0,K11/E11,0)</f>
        <v/>
      </c>
      <c r="N11">
        <f>IFERROR(INDEX(SHIPPER!$B$5:$B$2000,MATCH(M11,SHIPPER!$A$5:$A$2000,0)),"")</f>
        <v/>
      </c>
      <c r="O11">
        <f>IFERROR(INDEX(SHIPPER!$D$5:$D$2000,MATCH(M11,SHIPPER!$A$5:$A$2000,0)),"")</f>
        <v/>
      </c>
      <c r="P11">
        <f>IFERROR(INDEX(SHIPPER!$E$5:$E$2000,MATCH(M11,SHIPPER!$A$5:$A$2000,0)),"")</f>
        <v/>
      </c>
    </row>
    <row r="12">
      <c r="A12" t="inlineStr">
        <is>
          <t>PUR-008</t>
        </is>
      </c>
      <c r="B12" s="7" t="n">
        <v>46319</v>
      </c>
      <c r="C12" t="inlineStr">
        <is>
          <t>HH108</t>
        </is>
      </c>
      <c r="D12">
        <f>IFERROR(INDEX(PRODUCTS!$B$5:$B$2000,MATCH(C12,PRODUCTS!$A$5:$A$2000,0)),"")</f>
        <v/>
      </c>
      <c r="E12" t="n">
        <v>12</v>
      </c>
      <c r="F12" t="inlineStr">
        <is>
          <t>Pcs</t>
        </is>
      </c>
      <c r="G12" s="4" t="n">
        <v>1</v>
      </c>
      <c r="H12" s="4" t="n">
        <v>12</v>
      </c>
      <c r="I12" s="4" t="n"/>
      <c r="J12" s="4" t="n"/>
      <c r="K12" s="4">
        <f>H12+I12+J12</f>
        <v/>
      </c>
      <c r="L12" s="4">
        <f>IF(E12&gt;0,K12/E12,0)</f>
        <v/>
      </c>
      <c r="N12">
        <f>IFERROR(INDEX(SHIPPER!$B$5:$B$2000,MATCH(M12,SHIPPER!$A$5:$A$2000,0)),"")</f>
        <v/>
      </c>
      <c r="O12">
        <f>IFERROR(INDEX(SHIPPER!$D$5:$D$2000,MATCH(M12,SHIPPER!$A$5:$A$2000,0)),"")</f>
        <v/>
      </c>
      <c r="P12">
        <f>IFERROR(INDEX(SHIPPER!$E$5:$E$2000,MATCH(M12,SHIPPER!$A$5:$A$2000,0)),"")</f>
        <v/>
      </c>
    </row>
    <row r="13">
      <c r="A13" t="inlineStr">
        <is>
          <t>PUR-009</t>
        </is>
      </c>
      <c r="B13" s="7" t="n">
        <v>46319</v>
      </c>
      <c r="C13" t="inlineStr">
        <is>
          <t>HH109</t>
        </is>
      </c>
      <c r="D13">
        <f>IFERROR(INDEX(PRODUCTS!$B$5:$B$2000,MATCH(C13,PRODUCTS!$A$5:$A$2000,0)),"")</f>
        <v/>
      </c>
      <c r="E13" t="n">
        <v>30</v>
      </c>
      <c r="F13" t="inlineStr">
        <is>
          <t>Pcs</t>
        </is>
      </c>
      <c r="G13" s="4" t="n">
        <v>1</v>
      </c>
      <c r="H13" s="4" t="n">
        <v>30</v>
      </c>
      <c r="I13" s="4" t="n"/>
      <c r="J13" s="4" t="n"/>
      <c r="K13" s="4">
        <f>H13+I13+J13</f>
        <v/>
      </c>
      <c r="L13" s="4">
        <f>IF(E13&gt;0,K13/E13,0)</f>
        <v/>
      </c>
      <c r="N13">
        <f>IFERROR(INDEX(SHIPPER!$B$5:$B$2000,MATCH(M13,SHIPPER!$A$5:$A$2000,0)),"")</f>
        <v/>
      </c>
      <c r="O13">
        <f>IFERROR(INDEX(SHIPPER!$D$5:$D$2000,MATCH(M13,SHIPPER!$A$5:$A$2000,0)),"")</f>
        <v/>
      </c>
      <c r="P13">
        <f>IFERROR(INDEX(SHIPPER!$E$5:$E$2000,MATCH(M13,SHIPPER!$A$5:$A$2000,0)),"")</f>
        <v/>
      </c>
    </row>
    <row r="14">
      <c r="A14" t="inlineStr">
        <is>
          <t>PUR-010</t>
        </is>
      </c>
      <c r="B14" s="7" t="n">
        <v>46319</v>
      </c>
      <c r="C14" t="inlineStr">
        <is>
          <t>HH110</t>
        </is>
      </c>
      <c r="D14">
        <f>IFERROR(INDEX(PRODUCTS!$B$5:$B$2000,MATCH(C14,PRODUCTS!$A$5:$A$2000,0)),"")</f>
        <v/>
      </c>
      <c r="E14" t="n">
        <v>2</v>
      </c>
      <c r="F14" t="inlineStr">
        <is>
          <t>Kg</t>
        </is>
      </c>
      <c r="G14" s="4" t="n">
        <v>1</v>
      </c>
      <c r="H14" s="4" t="n">
        <v>2</v>
      </c>
      <c r="I14" s="4" t="n"/>
      <c r="J14" s="4" t="n"/>
      <c r="K14" s="4">
        <f>H14+I14+J14</f>
        <v/>
      </c>
      <c r="L14" s="4">
        <f>IF(E14&gt;0,K14/E14,0)</f>
        <v/>
      </c>
      <c r="N14">
        <f>IFERROR(INDEX(SHIPPER!$B$5:$B$2000,MATCH(M14,SHIPPER!$A$5:$A$2000,0)),"")</f>
        <v/>
      </c>
      <c r="O14">
        <f>IFERROR(INDEX(SHIPPER!$D$5:$D$2000,MATCH(M14,SHIPPER!$A$5:$A$2000,0)),"")</f>
        <v/>
      </c>
      <c r="P14">
        <f>IFERROR(INDEX(SHIPPER!$E$5:$E$2000,MATCH(M14,SHIPPER!$A$5:$A$2000,0)),"")</f>
        <v/>
      </c>
    </row>
    <row r="15">
      <c r="A15" t="inlineStr">
        <is>
          <t>PUR-011</t>
        </is>
      </c>
      <c r="B15" s="7" t="n">
        <v>46319</v>
      </c>
      <c r="C15" t="inlineStr">
        <is>
          <t>HH111</t>
        </is>
      </c>
      <c r="D15">
        <f>IFERROR(INDEX(PRODUCTS!$B$5:$B$2000,MATCH(C15,PRODUCTS!$A$5:$A$2000,0)),"")</f>
        <v/>
      </c>
      <c r="E15" t="n">
        <v>6</v>
      </c>
      <c r="F15" t="inlineStr">
        <is>
          <t>Pcs</t>
        </is>
      </c>
      <c r="G15" s="4" t="n">
        <v>1</v>
      </c>
      <c r="H15" s="4" t="n">
        <v>6</v>
      </c>
      <c r="I15" s="4" t="n"/>
      <c r="J15" s="4" t="n"/>
      <c r="K15" s="4">
        <f>H15+I15+J15</f>
        <v/>
      </c>
      <c r="L15" s="4">
        <f>IF(E15&gt;0,K15/E15,0)</f>
        <v/>
      </c>
      <c r="N15">
        <f>IFERROR(INDEX(SHIPPER!$B$5:$B$2000,MATCH(M15,SHIPPER!$A$5:$A$2000,0)),"")</f>
        <v/>
      </c>
      <c r="O15">
        <f>IFERROR(INDEX(SHIPPER!$D$5:$D$2000,MATCH(M15,SHIPPER!$A$5:$A$2000,0)),"")</f>
        <v/>
      </c>
      <c r="P15">
        <f>IFERROR(INDEX(SHIPPER!$E$5:$E$2000,MATCH(M15,SHIPPER!$A$5:$A$2000,0)),"")</f>
        <v/>
      </c>
    </row>
    <row r="16">
      <c r="A16" t="inlineStr">
        <is>
          <t>PUR-012</t>
        </is>
      </c>
      <c r="B16" s="7" t="n">
        <v>46319</v>
      </c>
      <c r="C16" t="inlineStr">
        <is>
          <t>HH112</t>
        </is>
      </c>
      <c r="D16">
        <f>IFERROR(INDEX(PRODUCTS!$B$5:$B$2000,MATCH(C16,PRODUCTS!$A$5:$A$2000,0)),"")</f>
        <v/>
      </c>
      <c r="E16" t="n">
        <v>12</v>
      </c>
      <c r="F16" t="inlineStr">
        <is>
          <t>Pcs</t>
        </is>
      </c>
      <c r="G16" s="4" t="n">
        <v>1</v>
      </c>
      <c r="H16" s="4" t="n">
        <v>12</v>
      </c>
      <c r="I16" s="4" t="n"/>
      <c r="J16" s="4" t="n"/>
      <c r="K16" s="4">
        <f>H16+I16+J16</f>
        <v/>
      </c>
      <c r="L16" s="4">
        <f>IF(E16&gt;0,K16/E16,0)</f>
        <v/>
      </c>
      <c r="N16">
        <f>IFERROR(INDEX(SHIPPER!$B$5:$B$2000,MATCH(M16,SHIPPER!$A$5:$A$2000,0)),"")</f>
        <v/>
      </c>
      <c r="O16">
        <f>IFERROR(INDEX(SHIPPER!$D$5:$D$2000,MATCH(M16,SHIPPER!$A$5:$A$2000,0)),"")</f>
        <v/>
      </c>
      <c r="P16">
        <f>IFERROR(INDEX(SHIPPER!$E$5:$E$2000,MATCH(M16,SHIPPER!$A$5:$A$2000,0)),"")</f>
        <v/>
      </c>
    </row>
    <row r="17">
      <c r="A17" t="inlineStr">
        <is>
          <t>PUR-013</t>
        </is>
      </c>
      <c r="B17" s="7" t="n">
        <v>46319</v>
      </c>
      <c r="C17" t="inlineStr">
        <is>
          <t>HH113</t>
        </is>
      </c>
      <c r="D17">
        <f>IFERROR(INDEX(PRODUCTS!$B$5:$B$2000,MATCH(C17,PRODUCTS!$A$5:$A$2000,0)),"")</f>
        <v/>
      </c>
      <c r="E17" t="n">
        <v>2</v>
      </c>
      <c r="F17" t="inlineStr">
        <is>
          <t>Kg</t>
        </is>
      </c>
      <c r="G17" s="4" t="n">
        <v>1</v>
      </c>
      <c r="H17" s="4" t="n">
        <v>2</v>
      </c>
      <c r="I17" s="4" t="n"/>
      <c r="J17" s="4" t="n"/>
      <c r="K17" s="4">
        <f>H17+I17+J17</f>
        <v/>
      </c>
      <c r="L17" s="4">
        <f>IF(E17&gt;0,K17/E17,0)</f>
        <v/>
      </c>
      <c r="N17">
        <f>IFERROR(INDEX(SHIPPER!$B$5:$B$2000,MATCH(M17,SHIPPER!$A$5:$A$2000,0)),"")</f>
        <v/>
      </c>
      <c r="O17">
        <f>IFERROR(INDEX(SHIPPER!$D$5:$D$2000,MATCH(M17,SHIPPER!$A$5:$A$2000,0)),"")</f>
        <v/>
      </c>
      <c r="P17">
        <f>IFERROR(INDEX(SHIPPER!$E$5:$E$2000,MATCH(M17,SHIPPER!$A$5:$A$2000,0)),"")</f>
        <v/>
      </c>
    </row>
    <row r="18">
      <c r="A18" t="inlineStr">
        <is>
          <t>PUR-014</t>
        </is>
      </c>
      <c r="B18" s="7" t="n">
        <v>46319</v>
      </c>
      <c r="C18" t="inlineStr">
        <is>
          <t>HH114</t>
        </is>
      </c>
      <c r="D18">
        <f>IFERROR(INDEX(PRODUCTS!$B$5:$B$2000,MATCH(C18,PRODUCTS!$A$5:$A$2000,0)),"")</f>
        <v/>
      </c>
      <c r="E18" t="n">
        <v>170</v>
      </c>
      <c r="F18" t="inlineStr">
        <is>
          <t>Pcs</t>
        </is>
      </c>
      <c r="G18" s="4" t="n">
        <v>1</v>
      </c>
      <c r="H18" s="4" t="n">
        <v>170</v>
      </c>
      <c r="I18" s="4" t="n"/>
      <c r="J18" s="4" t="n"/>
      <c r="K18" s="4">
        <f>H18+I18+J18</f>
        <v/>
      </c>
      <c r="L18" s="4">
        <f>IF(E18&gt;0,K18/E18,0)</f>
        <v/>
      </c>
      <c r="N18">
        <f>IFERROR(INDEX(SHIPPER!$B$5:$B$2000,MATCH(M18,SHIPPER!$A$5:$A$2000,0)),"")</f>
        <v/>
      </c>
      <c r="O18">
        <f>IFERROR(INDEX(SHIPPER!$D$5:$D$2000,MATCH(M18,SHIPPER!$A$5:$A$2000,0)),"")</f>
        <v/>
      </c>
      <c r="P18">
        <f>IFERROR(INDEX(SHIPPER!$E$5:$E$2000,MATCH(M18,SHIPPER!$A$5:$A$2000,0)),"")</f>
        <v/>
      </c>
    </row>
    <row r="19">
      <c r="A19" t="inlineStr">
        <is>
          <t>PUR-015</t>
        </is>
      </c>
      <c r="B19" s="7" t="n">
        <v>46319</v>
      </c>
      <c r="C19" t="inlineStr">
        <is>
          <t>HH115</t>
        </is>
      </c>
      <c r="D19">
        <f>IFERROR(INDEX(PRODUCTS!$B$5:$B$2000,MATCH(C19,PRODUCTS!$A$5:$A$2000,0)),"")</f>
        <v/>
      </c>
      <c r="E19" t="n">
        <v>12</v>
      </c>
      <c r="F19" t="inlineStr">
        <is>
          <t>Pcs</t>
        </is>
      </c>
      <c r="G19" s="4" t="n">
        <v>1</v>
      </c>
      <c r="H19" s="4" t="n">
        <v>12</v>
      </c>
      <c r="I19" s="4" t="n"/>
      <c r="J19" s="4" t="n"/>
      <c r="K19" s="4">
        <f>H19+I19+J19</f>
        <v/>
      </c>
      <c r="L19" s="4">
        <f>IF(E19&gt;0,K19/E19,0)</f>
        <v/>
      </c>
      <c r="N19">
        <f>IFERROR(INDEX(SHIPPER!$B$5:$B$2000,MATCH(M19,SHIPPER!$A$5:$A$2000,0)),"")</f>
        <v/>
      </c>
      <c r="O19">
        <f>IFERROR(INDEX(SHIPPER!$D$5:$D$2000,MATCH(M19,SHIPPER!$A$5:$A$2000,0)),"")</f>
        <v/>
      </c>
      <c r="P19">
        <f>IFERROR(INDEX(SHIPPER!$E$5:$E$2000,MATCH(M19,SHIPPER!$A$5:$A$2000,0)),"")</f>
        <v/>
      </c>
    </row>
    <row r="20">
      <c r="A20" t="inlineStr">
        <is>
          <t>PUR-016</t>
        </is>
      </c>
      <c r="B20" s="7" t="n">
        <v>46319</v>
      </c>
      <c r="C20" t="inlineStr">
        <is>
          <t>HH116</t>
        </is>
      </c>
      <c r="D20">
        <f>IFERROR(INDEX(PRODUCTS!$B$5:$B$2000,MATCH(C20,PRODUCTS!$A$5:$A$2000,0)),"")</f>
        <v/>
      </c>
      <c r="E20" t="n">
        <v>6</v>
      </c>
      <c r="F20" t="inlineStr">
        <is>
          <t>Pcs</t>
        </is>
      </c>
      <c r="G20" s="4" t="n">
        <v>1</v>
      </c>
      <c r="H20" s="4" t="n">
        <v>6</v>
      </c>
      <c r="I20" s="4" t="n"/>
      <c r="J20" s="4" t="n"/>
      <c r="K20" s="4">
        <f>H20+I20+J20</f>
        <v/>
      </c>
      <c r="L20" s="4">
        <f>IF(E20&gt;0,K20/E20,0)</f>
        <v/>
      </c>
      <c r="N20">
        <f>IFERROR(INDEX(SHIPPER!$B$5:$B$2000,MATCH(M20,SHIPPER!$A$5:$A$2000,0)),"")</f>
        <v/>
      </c>
      <c r="O20">
        <f>IFERROR(INDEX(SHIPPER!$D$5:$D$2000,MATCH(M20,SHIPPER!$A$5:$A$2000,0)),"")</f>
        <v/>
      </c>
      <c r="P20">
        <f>IFERROR(INDEX(SHIPPER!$E$5:$E$2000,MATCH(M20,SHIPPER!$A$5:$A$2000,0)),"")</f>
        <v/>
      </c>
    </row>
    <row r="21">
      <c r="A21" t="inlineStr">
        <is>
          <t>PUR-017</t>
        </is>
      </c>
      <c r="B21" s="7" t="n">
        <v>46319</v>
      </c>
      <c r="C21" t="inlineStr">
        <is>
          <t>HH117</t>
        </is>
      </c>
      <c r="D21">
        <f>IFERROR(INDEX(PRODUCTS!$B$5:$B$2000,MATCH(C21,PRODUCTS!$A$5:$A$2000,0)),"")</f>
        <v/>
      </c>
      <c r="E21" t="n">
        <v>20</v>
      </c>
      <c r="F21" t="inlineStr">
        <is>
          <t>Pcs</t>
        </is>
      </c>
      <c r="G21" s="4" t="n">
        <v>1</v>
      </c>
      <c r="H21" s="4" t="n">
        <v>20</v>
      </c>
      <c r="I21" s="4" t="n"/>
      <c r="J21" s="4" t="n"/>
      <c r="K21" s="4">
        <f>H21+I21+J21</f>
        <v/>
      </c>
      <c r="L21" s="4">
        <f>IF(E21&gt;0,K21/E21,0)</f>
        <v/>
      </c>
      <c r="N21">
        <f>IFERROR(INDEX(SHIPPER!$B$5:$B$2000,MATCH(M21,SHIPPER!$A$5:$A$2000,0)),"")</f>
        <v/>
      </c>
      <c r="O21">
        <f>IFERROR(INDEX(SHIPPER!$D$5:$D$2000,MATCH(M21,SHIPPER!$A$5:$A$2000,0)),"")</f>
        <v/>
      </c>
      <c r="P21">
        <f>IFERROR(INDEX(SHIPPER!$E$5:$E$2000,MATCH(M21,SHIPPER!$A$5:$A$2000,0)),"")</f>
        <v/>
      </c>
    </row>
    <row r="22">
      <c r="A22" t="inlineStr">
        <is>
          <t>PUR-018</t>
        </is>
      </c>
      <c r="B22" s="7" t="n">
        <v>46319</v>
      </c>
      <c r="C22" t="inlineStr">
        <is>
          <t>HH118</t>
        </is>
      </c>
      <c r="D22">
        <f>IFERROR(INDEX(PRODUCTS!$B$5:$B$2000,MATCH(C22,PRODUCTS!$A$5:$A$2000,0)),"")</f>
        <v/>
      </c>
      <c r="E22" t="n">
        <v>2</v>
      </c>
      <c r="F22" t="inlineStr">
        <is>
          <t>Pcs</t>
        </is>
      </c>
      <c r="G22" s="4" t="n">
        <v>1</v>
      </c>
      <c r="H22" s="4" t="n">
        <v>2</v>
      </c>
      <c r="I22" s="4" t="n"/>
      <c r="J22" s="4" t="n"/>
      <c r="K22" s="4">
        <f>H22+I22+J22</f>
        <v/>
      </c>
      <c r="L22" s="4">
        <f>IF(E22&gt;0,K22/E22,0)</f>
        <v/>
      </c>
      <c r="N22">
        <f>IFERROR(INDEX(SHIPPER!$B$5:$B$2000,MATCH(M22,SHIPPER!$A$5:$A$2000,0)),"")</f>
        <v/>
      </c>
      <c r="O22">
        <f>IFERROR(INDEX(SHIPPER!$D$5:$D$2000,MATCH(M22,SHIPPER!$A$5:$A$2000,0)),"")</f>
        <v/>
      </c>
      <c r="P22">
        <f>IFERROR(INDEX(SHIPPER!$E$5:$E$2000,MATCH(M22,SHIPPER!$A$5:$A$2000,0)),"")</f>
        <v/>
      </c>
    </row>
    <row r="23">
      <c r="A23" t="inlineStr">
        <is>
          <t>PUR-019</t>
        </is>
      </c>
      <c r="B23" s="7" t="n">
        <v>46319</v>
      </c>
      <c r="C23" t="inlineStr">
        <is>
          <t>HH119</t>
        </is>
      </c>
      <c r="D23">
        <f>IFERROR(INDEX(PRODUCTS!$B$5:$B$2000,MATCH(C23,PRODUCTS!$A$5:$A$2000,0)),"")</f>
        <v/>
      </c>
      <c r="E23" t="n">
        <v>12</v>
      </c>
      <c r="F23" t="inlineStr">
        <is>
          <t>Pcs</t>
        </is>
      </c>
      <c r="G23" s="4" t="n">
        <v>1</v>
      </c>
      <c r="H23" s="4" t="n">
        <v>12</v>
      </c>
      <c r="I23" s="4" t="n"/>
      <c r="J23" s="4" t="n"/>
      <c r="K23" s="4">
        <f>H23+I23+J23</f>
        <v/>
      </c>
      <c r="L23" s="4">
        <f>IF(E23&gt;0,K23/E23,0)</f>
        <v/>
      </c>
      <c r="N23">
        <f>IFERROR(INDEX(SHIPPER!$B$5:$B$2000,MATCH(M23,SHIPPER!$A$5:$A$2000,0)),"")</f>
        <v/>
      </c>
      <c r="O23">
        <f>IFERROR(INDEX(SHIPPER!$D$5:$D$2000,MATCH(M23,SHIPPER!$A$5:$A$2000,0)),"")</f>
        <v/>
      </c>
      <c r="P23">
        <f>IFERROR(INDEX(SHIPPER!$E$5:$E$2000,MATCH(M23,SHIPPER!$A$5:$A$2000,0)),"")</f>
        <v/>
      </c>
    </row>
    <row r="24">
      <c r="A24" t="inlineStr">
        <is>
          <t>PUR-020</t>
        </is>
      </c>
      <c r="B24" s="7" t="n">
        <v>46319</v>
      </c>
      <c r="C24" t="inlineStr">
        <is>
          <t>HH120</t>
        </is>
      </c>
      <c r="D24">
        <f>IFERROR(INDEX(PRODUCTS!$B$5:$B$2000,MATCH(C24,PRODUCTS!$A$5:$A$2000,0)),"")</f>
        <v/>
      </c>
      <c r="E24" t="n">
        <v>12</v>
      </c>
      <c r="F24" t="inlineStr">
        <is>
          <t>Pcs</t>
        </is>
      </c>
      <c r="G24" s="4" t="n">
        <v>1</v>
      </c>
      <c r="H24" s="4" t="n">
        <v>12</v>
      </c>
      <c r="I24" s="4" t="n"/>
      <c r="J24" s="4" t="n"/>
      <c r="K24" s="4">
        <f>H24+I24+J24</f>
        <v/>
      </c>
      <c r="L24" s="4">
        <f>IF(E24&gt;0,K24/E24,0)</f>
        <v/>
      </c>
      <c r="N24">
        <f>IFERROR(INDEX(SHIPPER!$B$5:$B$2000,MATCH(M24,SHIPPER!$A$5:$A$2000,0)),"")</f>
        <v/>
      </c>
      <c r="O24">
        <f>IFERROR(INDEX(SHIPPER!$D$5:$D$2000,MATCH(M24,SHIPPER!$A$5:$A$2000,0)),"")</f>
        <v/>
      </c>
      <c r="P24">
        <f>IFERROR(INDEX(SHIPPER!$E$5:$E$2000,MATCH(M24,SHIPPER!$A$5:$A$2000,0)),"")</f>
        <v/>
      </c>
    </row>
    <row r="25">
      <c r="A25" t="inlineStr">
        <is>
          <t>PUR-021</t>
        </is>
      </c>
      <c r="B25" s="7" t="n">
        <v>46319</v>
      </c>
      <c r="C25" t="inlineStr">
        <is>
          <t>HH121</t>
        </is>
      </c>
      <c r="D25">
        <f>IFERROR(INDEX(PRODUCTS!$B$5:$B$2000,MATCH(C25,PRODUCTS!$A$5:$A$2000,0)),"")</f>
        <v/>
      </c>
      <c r="E25" t="n">
        <v>6</v>
      </c>
      <c r="F25" t="inlineStr">
        <is>
          <t>Pcs</t>
        </is>
      </c>
      <c r="G25" s="4" t="n">
        <v>1</v>
      </c>
      <c r="H25" s="4" t="n">
        <v>6</v>
      </c>
      <c r="I25" s="4" t="n"/>
      <c r="J25" s="4" t="n"/>
      <c r="K25" s="4">
        <f>H25+I25+J25</f>
        <v/>
      </c>
      <c r="L25" s="4">
        <f>IF(E25&gt;0,K25/E25,0)</f>
        <v/>
      </c>
      <c r="N25">
        <f>IFERROR(INDEX(SHIPPER!$B$5:$B$2000,MATCH(M25,SHIPPER!$A$5:$A$2000,0)),"")</f>
        <v/>
      </c>
      <c r="O25">
        <f>IFERROR(INDEX(SHIPPER!$D$5:$D$2000,MATCH(M25,SHIPPER!$A$5:$A$2000,0)),"")</f>
        <v/>
      </c>
      <c r="P25">
        <f>IFERROR(INDEX(SHIPPER!$E$5:$E$2000,MATCH(M25,SHIPPER!$A$5:$A$2000,0)),"")</f>
        <v/>
      </c>
    </row>
    <row r="26">
      <c r="A26" t="inlineStr">
        <is>
          <t>PUR-022</t>
        </is>
      </c>
      <c r="B26" s="7" t="n">
        <v>46319</v>
      </c>
      <c r="C26" t="inlineStr">
        <is>
          <t>HH122</t>
        </is>
      </c>
      <c r="D26">
        <f>IFERROR(INDEX(PRODUCTS!$B$5:$B$2000,MATCH(C26,PRODUCTS!$A$5:$A$2000,0)),"")</f>
        <v/>
      </c>
      <c r="E26" t="n">
        <v>12</v>
      </c>
      <c r="F26" t="inlineStr">
        <is>
          <t>Pcs</t>
        </is>
      </c>
      <c r="G26" s="4" t="n">
        <v>1</v>
      </c>
      <c r="H26" s="4" t="n">
        <v>12</v>
      </c>
      <c r="I26" s="4" t="n"/>
      <c r="J26" s="4" t="n"/>
      <c r="K26" s="4">
        <f>H26+I26+J26</f>
        <v/>
      </c>
      <c r="L26" s="4">
        <f>IF(E26&gt;0,K26/E26,0)</f>
        <v/>
      </c>
      <c r="N26">
        <f>IFERROR(INDEX(SHIPPER!$B$5:$B$2000,MATCH(M26,SHIPPER!$A$5:$A$2000,0)),"")</f>
        <v/>
      </c>
      <c r="O26">
        <f>IFERROR(INDEX(SHIPPER!$D$5:$D$2000,MATCH(M26,SHIPPER!$A$5:$A$2000,0)),"")</f>
        <v/>
      </c>
      <c r="P26">
        <f>IFERROR(INDEX(SHIPPER!$E$5:$E$2000,MATCH(M26,SHIPPER!$A$5:$A$2000,0)),"")</f>
        <v/>
      </c>
    </row>
    <row r="27">
      <c r="A27" t="inlineStr">
        <is>
          <t>PUR-023</t>
        </is>
      </c>
      <c r="B27" s="7" t="n">
        <v>46319</v>
      </c>
      <c r="C27" t="inlineStr">
        <is>
          <t>HH123</t>
        </is>
      </c>
      <c r="D27">
        <f>IFERROR(INDEX(PRODUCTS!$B$5:$B$2000,MATCH(C27,PRODUCTS!$A$5:$A$2000,0)),"")</f>
        <v/>
      </c>
      <c r="E27" t="n">
        <v>12</v>
      </c>
      <c r="F27" t="inlineStr">
        <is>
          <t>Pcs</t>
        </is>
      </c>
      <c r="G27" s="4" t="n">
        <v>1</v>
      </c>
      <c r="H27" s="4" t="n">
        <v>12</v>
      </c>
      <c r="I27" s="4" t="n"/>
      <c r="J27" s="4" t="n"/>
      <c r="K27" s="4">
        <f>H27+I27+J27</f>
        <v/>
      </c>
      <c r="L27" s="4">
        <f>IF(E27&gt;0,K27/E27,0)</f>
        <v/>
      </c>
      <c r="N27">
        <f>IFERROR(INDEX(SHIPPER!$B$5:$B$2000,MATCH(M27,SHIPPER!$A$5:$A$2000,0)),"")</f>
        <v/>
      </c>
      <c r="O27">
        <f>IFERROR(INDEX(SHIPPER!$D$5:$D$2000,MATCH(M27,SHIPPER!$A$5:$A$2000,0)),"")</f>
        <v/>
      </c>
      <c r="P27">
        <f>IFERROR(INDEX(SHIPPER!$E$5:$E$2000,MATCH(M27,SHIPPER!$A$5:$A$2000,0)),"")</f>
        <v/>
      </c>
    </row>
    <row r="28">
      <c r="A28" t="inlineStr">
        <is>
          <t>PUR-024</t>
        </is>
      </c>
      <c r="B28" s="7" t="n">
        <v>46319</v>
      </c>
      <c r="C28" t="inlineStr">
        <is>
          <t>HH124</t>
        </is>
      </c>
      <c r="D28">
        <f>IFERROR(INDEX(PRODUCTS!$B$5:$B$2000,MATCH(C28,PRODUCTS!$A$5:$A$2000,0)),"")</f>
        <v/>
      </c>
      <c r="E28" t="n">
        <v>12</v>
      </c>
      <c r="F28" t="inlineStr">
        <is>
          <t>Pcs</t>
        </is>
      </c>
      <c r="G28" s="4" t="n">
        <v>1</v>
      </c>
      <c r="H28" s="4" t="n">
        <v>12</v>
      </c>
      <c r="I28" s="4" t="n"/>
      <c r="J28" s="4" t="n"/>
      <c r="K28" s="4">
        <f>H28+I28+J28</f>
        <v/>
      </c>
      <c r="L28" s="4">
        <f>IF(E28&gt;0,K28/E28,0)</f>
        <v/>
      </c>
      <c r="N28">
        <f>IFERROR(INDEX(SHIPPER!$B$5:$B$2000,MATCH(M28,SHIPPER!$A$5:$A$2000,0)),"")</f>
        <v/>
      </c>
      <c r="O28">
        <f>IFERROR(INDEX(SHIPPER!$D$5:$D$2000,MATCH(M28,SHIPPER!$A$5:$A$2000,0)),"")</f>
        <v/>
      </c>
      <c r="P28">
        <f>IFERROR(INDEX(SHIPPER!$E$5:$E$2000,MATCH(M28,SHIPPER!$A$5:$A$2000,0)),"")</f>
        <v/>
      </c>
    </row>
    <row r="29">
      <c r="A29" t="inlineStr">
        <is>
          <t>PUR-025</t>
        </is>
      </c>
      <c r="B29" s="7" t="n">
        <v>46319</v>
      </c>
      <c r="C29" t="inlineStr">
        <is>
          <t>HH125</t>
        </is>
      </c>
      <c r="D29">
        <f>IFERROR(INDEX(PRODUCTS!$B$5:$B$2000,MATCH(C29,PRODUCTS!$A$5:$A$2000,0)),"")</f>
        <v/>
      </c>
      <c r="E29" t="n">
        <v>30</v>
      </c>
      <c r="F29" t="inlineStr">
        <is>
          <t>Pcs</t>
        </is>
      </c>
      <c r="G29" s="4" t="n">
        <v>1</v>
      </c>
      <c r="H29" s="4" t="n">
        <v>30</v>
      </c>
      <c r="I29" s="4" t="n"/>
      <c r="J29" s="4" t="n"/>
      <c r="K29" s="4">
        <f>H29+I29+J29</f>
        <v/>
      </c>
      <c r="L29" s="4">
        <f>IF(E29&gt;0,K29/E29,0)</f>
        <v/>
      </c>
      <c r="N29">
        <f>IFERROR(INDEX(SHIPPER!$B$5:$B$2000,MATCH(M29,SHIPPER!$A$5:$A$2000,0)),"")</f>
        <v/>
      </c>
      <c r="O29">
        <f>IFERROR(INDEX(SHIPPER!$D$5:$D$2000,MATCH(M29,SHIPPER!$A$5:$A$2000,0)),"")</f>
        <v/>
      </c>
      <c r="P29">
        <f>IFERROR(INDEX(SHIPPER!$E$5:$E$2000,MATCH(M29,SHIPPER!$A$5:$A$2000,0)),"")</f>
        <v/>
      </c>
    </row>
    <row r="30">
      <c r="A30" t="inlineStr">
        <is>
          <t>PUR-026</t>
        </is>
      </c>
      <c r="B30" s="7" t="n">
        <v>46319</v>
      </c>
      <c r="C30" t="inlineStr">
        <is>
          <t>HH126</t>
        </is>
      </c>
      <c r="D30">
        <f>IFERROR(INDEX(PRODUCTS!$B$5:$B$2000,MATCH(C30,PRODUCTS!$A$5:$A$2000,0)),"")</f>
        <v/>
      </c>
      <c r="E30" t="n">
        <v>9</v>
      </c>
      <c r="F30" t="inlineStr">
        <is>
          <t>Pcs</t>
        </is>
      </c>
      <c r="G30" s="4" t="n">
        <v>1</v>
      </c>
      <c r="H30" s="4" t="n">
        <v>9</v>
      </c>
      <c r="I30" s="4" t="n"/>
      <c r="J30" s="4" t="n"/>
      <c r="K30" s="4">
        <f>H30+I30+J30</f>
        <v/>
      </c>
      <c r="L30" s="4">
        <f>IF(E30&gt;0,K30/E30,0)</f>
        <v/>
      </c>
      <c r="N30">
        <f>IFERROR(INDEX(SHIPPER!$B$5:$B$2000,MATCH(M30,SHIPPER!$A$5:$A$2000,0)),"")</f>
        <v/>
      </c>
      <c r="O30">
        <f>IFERROR(INDEX(SHIPPER!$D$5:$D$2000,MATCH(M30,SHIPPER!$A$5:$A$2000,0)),"")</f>
        <v/>
      </c>
      <c r="P30">
        <f>IFERROR(INDEX(SHIPPER!$E$5:$E$2000,MATCH(M30,SHIPPER!$A$5:$A$2000,0)),"")</f>
        <v/>
      </c>
    </row>
    <row r="31">
      <c r="A31" t="inlineStr">
        <is>
          <t>PUR-027</t>
        </is>
      </c>
      <c r="B31" s="7" t="n">
        <v>46319</v>
      </c>
      <c r="C31" t="inlineStr">
        <is>
          <t>HH127</t>
        </is>
      </c>
      <c r="D31">
        <f>IFERROR(INDEX(PRODUCTS!$B$5:$B$2000,MATCH(C31,PRODUCTS!$A$5:$A$2000,0)),"")</f>
        <v/>
      </c>
      <c r="E31" t="n">
        <v>78</v>
      </c>
      <c r="F31" t="inlineStr">
        <is>
          <t>Pcs</t>
        </is>
      </c>
      <c r="G31" s="4" t="n">
        <v>1</v>
      </c>
      <c r="H31" s="4" t="n">
        <v>78</v>
      </c>
      <c r="I31" s="4" t="n"/>
      <c r="J31" s="4" t="n"/>
      <c r="K31" s="4">
        <f>H31+I31+J31</f>
        <v/>
      </c>
      <c r="L31" s="4">
        <f>IF(E31&gt;0,K31/E31,0)</f>
        <v/>
      </c>
      <c r="N31">
        <f>IFERROR(INDEX(SHIPPER!$B$5:$B$2000,MATCH(M31,SHIPPER!$A$5:$A$2000,0)),"")</f>
        <v/>
      </c>
      <c r="O31">
        <f>IFERROR(INDEX(SHIPPER!$D$5:$D$2000,MATCH(M31,SHIPPER!$A$5:$A$2000,0)),"")</f>
        <v/>
      </c>
      <c r="P31">
        <f>IFERROR(INDEX(SHIPPER!$E$5:$E$2000,MATCH(M31,SHIPPER!$A$5:$A$2000,0)),"")</f>
        <v/>
      </c>
    </row>
    <row r="32">
      <c r="A32" t="inlineStr">
        <is>
          <t>PUR-028</t>
        </is>
      </c>
      <c r="B32" s="7" t="n">
        <v>46319</v>
      </c>
      <c r="C32" t="inlineStr">
        <is>
          <t>HH128</t>
        </is>
      </c>
      <c r="D32">
        <f>IFERROR(INDEX(PRODUCTS!$B$5:$B$2000,MATCH(C32,PRODUCTS!$A$5:$A$2000,0)),"")</f>
        <v/>
      </c>
      <c r="E32" t="n">
        <v>30</v>
      </c>
      <c r="F32" t="inlineStr">
        <is>
          <t>Pcs</t>
        </is>
      </c>
      <c r="G32" s="4" t="n">
        <v>1</v>
      </c>
      <c r="H32" s="4" t="n">
        <v>30</v>
      </c>
      <c r="I32" s="4" t="n"/>
      <c r="J32" s="4" t="n"/>
      <c r="K32" s="4">
        <f>H32+I32+J32</f>
        <v/>
      </c>
      <c r="L32" s="4">
        <f>IF(E32&gt;0,K32/E32,0)</f>
        <v/>
      </c>
      <c r="N32">
        <f>IFERROR(INDEX(SHIPPER!$B$5:$B$2000,MATCH(M32,SHIPPER!$A$5:$A$2000,0)),"")</f>
        <v/>
      </c>
      <c r="O32">
        <f>IFERROR(INDEX(SHIPPER!$D$5:$D$2000,MATCH(M32,SHIPPER!$A$5:$A$2000,0)),"")</f>
        <v/>
      </c>
      <c r="P32">
        <f>IFERROR(INDEX(SHIPPER!$E$5:$E$2000,MATCH(M32,SHIPPER!$A$5:$A$2000,0)),"")</f>
        <v/>
      </c>
    </row>
    <row r="33">
      <c r="A33" t="inlineStr">
        <is>
          <t>PUR-029</t>
        </is>
      </c>
      <c r="B33" s="7" t="n">
        <v>46319</v>
      </c>
      <c r="C33" t="inlineStr">
        <is>
          <t>HH129</t>
        </is>
      </c>
      <c r="D33">
        <f>IFERROR(INDEX(PRODUCTS!$B$5:$B$2000,MATCH(C33,PRODUCTS!$A$5:$A$2000,0)),"")</f>
        <v/>
      </c>
      <c r="E33" t="n">
        <v>2</v>
      </c>
      <c r="F33" t="inlineStr">
        <is>
          <t>Pcs</t>
        </is>
      </c>
      <c r="G33" s="4" t="n">
        <v>1</v>
      </c>
      <c r="H33" s="4" t="n">
        <v>2</v>
      </c>
      <c r="I33" s="4" t="n"/>
      <c r="J33" s="4" t="n"/>
      <c r="K33" s="4">
        <f>H33+I33+J33</f>
        <v/>
      </c>
      <c r="L33" s="4">
        <f>IF(E33&gt;0,K33/E33,0)</f>
        <v/>
      </c>
      <c r="N33">
        <f>IFERROR(INDEX(SHIPPER!$B$5:$B$2000,MATCH(M33,SHIPPER!$A$5:$A$2000,0)),"")</f>
        <v/>
      </c>
      <c r="O33">
        <f>IFERROR(INDEX(SHIPPER!$D$5:$D$2000,MATCH(M33,SHIPPER!$A$5:$A$2000,0)),"")</f>
        <v/>
      </c>
      <c r="P33">
        <f>IFERROR(INDEX(SHIPPER!$E$5:$E$2000,MATCH(M33,SHIPPER!$A$5:$A$2000,0)),"")</f>
        <v/>
      </c>
    </row>
    <row r="34">
      <c r="A34" t="inlineStr">
        <is>
          <t>PUR-030</t>
        </is>
      </c>
      <c r="B34" s="7" t="n">
        <v>46319</v>
      </c>
      <c r="C34" t="inlineStr">
        <is>
          <t>HH130</t>
        </is>
      </c>
      <c r="D34">
        <f>IFERROR(INDEX(PRODUCTS!$B$5:$B$2000,MATCH(C34,PRODUCTS!$A$5:$A$2000,0)),"")</f>
        <v/>
      </c>
      <c r="E34" t="n">
        <v>44</v>
      </c>
      <c r="F34" t="inlineStr">
        <is>
          <t>Pcs</t>
        </is>
      </c>
      <c r="G34" s="4" t="n">
        <v>1</v>
      </c>
      <c r="H34" s="4" t="n">
        <v>44</v>
      </c>
      <c r="I34" s="4" t="n"/>
      <c r="J34" s="4" t="n"/>
      <c r="K34" s="4">
        <f>H34+I34+J34</f>
        <v/>
      </c>
      <c r="L34" s="4">
        <f>IF(E34&gt;0,K34/E34,0)</f>
        <v/>
      </c>
      <c r="N34">
        <f>IFERROR(INDEX(SHIPPER!$B$5:$B$2000,MATCH(M34,SHIPPER!$A$5:$A$2000,0)),"")</f>
        <v/>
      </c>
      <c r="O34">
        <f>IFERROR(INDEX(SHIPPER!$D$5:$D$2000,MATCH(M34,SHIPPER!$A$5:$A$2000,0)),"")</f>
        <v/>
      </c>
      <c r="P34">
        <f>IFERROR(INDEX(SHIPPER!$E$5:$E$2000,MATCH(M34,SHIPPER!$A$5:$A$2000,0)),"")</f>
        <v/>
      </c>
    </row>
    <row r="35">
      <c r="A35" t="inlineStr">
        <is>
          <t>PUR-031</t>
        </is>
      </c>
      <c r="B35" s="7" t="n">
        <v>46319</v>
      </c>
      <c r="C35" t="inlineStr">
        <is>
          <t>HH131</t>
        </is>
      </c>
      <c r="D35">
        <f>IFERROR(INDEX(PRODUCTS!$B$5:$B$2000,MATCH(C35,PRODUCTS!$A$5:$A$2000,0)),"")</f>
        <v/>
      </c>
      <c r="E35" t="n">
        <v>16</v>
      </c>
      <c r="F35" t="inlineStr">
        <is>
          <t>Pcs</t>
        </is>
      </c>
      <c r="G35" s="4" t="n">
        <v>1</v>
      </c>
      <c r="H35" s="4" t="n">
        <v>16</v>
      </c>
      <c r="I35" s="4" t="n"/>
      <c r="J35" s="4" t="n"/>
      <c r="K35" s="4">
        <f>H35+I35+J35</f>
        <v/>
      </c>
      <c r="L35" s="4">
        <f>IF(E35&gt;0,K35/E35,0)</f>
        <v/>
      </c>
      <c r="N35">
        <f>IFERROR(INDEX(SHIPPER!$B$5:$B$2000,MATCH(M35,SHIPPER!$A$5:$A$2000,0)),"")</f>
        <v/>
      </c>
      <c r="O35">
        <f>IFERROR(INDEX(SHIPPER!$D$5:$D$2000,MATCH(M35,SHIPPER!$A$5:$A$2000,0)),"")</f>
        <v/>
      </c>
      <c r="P35">
        <f>IFERROR(INDEX(SHIPPER!$E$5:$E$2000,MATCH(M35,SHIPPER!$A$5:$A$2000,0)),"")</f>
        <v/>
      </c>
    </row>
    <row r="36">
      <c r="A36" t="inlineStr">
        <is>
          <t>PUR-032</t>
        </is>
      </c>
      <c r="B36" s="7" t="n">
        <v>46319</v>
      </c>
      <c r="C36" t="inlineStr">
        <is>
          <t>HH132</t>
        </is>
      </c>
      <c r="D36">
        <f>IFERROR(INDEX(PRODUCTS!$B$5:$B$2000,MATCH(C36,PRODUCTS!$A$5:$A$2000,0)),"")</f>
        <v/>
      </c>
      <c r="E36" t="n">
        <v>16</v>
      </c>
      <c r="F36" t="inlineStr">
        <is>
          <t>Pcs</t>
        </is>
      </c>
      <c r="G36" s="4" t="n">
        <v>1</v>
      </c>
      <c r="H36" s="4" t="n">
        <v>16</v>
      </c>
      <c r="I36" s="4" t="n"/>
      <c r="J36" s="4" t="n"/>
      <c r="K36" s="4">
        <f>H36+I36+J36</f>
        <v/>
      </c>
      <c r="L36" s="4">
        <f>IF(E36&gt;0,K36/E36,0)</f>
        <v/>
      </c>
      <c r="N36">
        <f>IFERROR(INDEX(SHIPPER!$B$5:$B$2000,MATCH(M36,SHIPPER!$A$5:$A$2000,0)),"")</f>
        <v/>
      </c>
      <c r="O36">
        <f>IFERROR(INDEX(SHIPPER!$D$5:$D$2000,MATCH(M36,SHIPPER!$A$5:$A$2000,0)),"")</f>
        <v/>
      </c>
      <c r="P36">
        <f>IFERROR(INDEX(SHIPPER!$E$5:$E$2000,MATCH(M36,SHIPPER!$A$5:$A$2000,0)),"")</f>
        <v/>
      </c>
    </row>
    <row r="37">
      <c r="A37" t="inlineStr">
        <is>
          <t>PUR-033</t>
        </is>
      </c>
      <c r="B37" s="7" t="n">
        <v>46319</v>
      </c>
      <c r="C37" t="inlineStr">
        <is>
          <t>HH133</t>
        </is>
      </c>
      <c r="D37">
        <f>IFERROR(INDEX(PRODUCTS!$B$5:$B$2000,MATCH(C37,PRODUCTS!$A$5:$A$2000,0)),"")</f>
        <v/>
      </c>
      <c r="E37" t="n">
        <v>20</v>
      </c>
      <c r="F37" t="inlineStr">
        <is>
          <t>Pcs</t>
        </is>
      </c>
      <c r="G37" s="4" t="n">
        <v>1</v>
      </c>
      <c r="H37" s="4" t="n">
        <v>20</v>
      </c>
      <c r="I37" s="4" t="n"/>
      <c r="J37" s="4" t="n"/>
      <c r="K37" s="4">
        <f>H37+I37+J37</f>
        <v/>
      </c>
      <c r="L37" s="4">
        <f>IF(E37&gt;0,K37/E37,0)</f>
        <v/>
      </c>
      <c r="N37">
        <f>IFERROR(INDEX(SHIPPER!$B$5:$B$2000,MATCH(M37,SHIPPER!$A$5:$A$2000,0)),"")</f>
        <v/>
      </c>
      <c r="O37">
        <f>IFERROR(INDEX(SHIPPER!$D$5:$D$2000,MATCH(M37,SHIPPER!$A$5:$A$2000,0)),"")</f>
        <v/>
      </c>
      <c r="P37">
        <f>IFERROR(INDEX(SHIPPER!$E$5:$E$2000,MATCH(M37,SHIPPER!$A$5:$A$2000,0)),"")</f>
        <v/>
      </c>
    </row>
    <row r="38">
      <c r="A38" t="inlineStr">
        <is>
          <t>PUR-034</t>
        </is>
      </c>
      <c r="B38" s="7" t="n">
        <v>46319</v>
      </c>
      <c r="C38" t="inlineStr">
        <is>
          <t>HH134</t>
        </is>
      </c>
      <c r="D38">
        <f>IFERROR(INDEX(PRODUCTS!$B$5:$B$2000,MATCH(C38,PRODUCTS!$A$5:$A$2000,0)),"")</f>
        <v/>
      </c>
      <c r="E38" t="n">
        <v>240</v>
      </c>
      <c r="F38" t="inlineStr">
        <is>
          <t>Pcs</t>
        </is>
      </c>
      <c r="G38" s="4" t="n">
        <v>1</v>
      </c>
      <c r="H38" s="4" t="n">
        <v>240</v>
      </c>
      <c r="I38" s="4" t="n"/>
      <c r="J38" s="4" t="n"/>
      <c r="K38" s="4">
        <f>H38+I38+J38</f>
        <v/>
      </c>
      <c r="L38" s="4">
        <f>IF(E38&gt;0,K38/E38,0)</f>
        <v/>
      </c>
      <c r="N38">
        <f>IFERROR(INDEX(SHIPPER!$B$5:$B$2000,MATCH(M38,SHIPPER!$A$5:$A$2000,0)),"")</f>
        <v/>
      </c>
      <c r="O38">
        <f>IFERROR(INDEX(SHIPPER!$D$5:$D$2000,MATCH(M38,SHIPPER!$A$5:$A$2000,0)),"")</f>
        <v/>
      </c>
      <c r="P38">
        <f>IFERROR(INDEX(SHIPPER!$E$5:$E$2000,MATCH(M38,SHIPPER!$A$5:$A$2000,0)),"")</f>
        <v/>
      </c>
    </row>
    <row r="39">
      <c r="A39" t="inlineStr">
        <is>
          <t>PUR-035</t>
        </is>
      </c>
      <c r="B39" s="7" t="n">
        <v>46319</v>
      </c>
      <c r="C39" t="inlineStr">
        <is>
          <t>HH135</t>
        </is>
      </c>
      <c r="D39">
        <f>IFERROR(INDEX(PRODUCTS!$B$5:$B$2000,MATCH(C39,PRODUCTS!$A$5:$A$2000,0)),"")</f>
        <v/>
      </c>
      <c r="E39" t="n">
        <v>2</v>
      </c>
      <c r="F39" t="inlineStr">
        <is>
          <t>Pcs</t>
        </is>
      </c>
      <c r="G39" s="4" t="n">
        <v>1</v>
      </c>
      <c r="H39" s="4" t="n">
        <v>2</v>
      </c>
      <c r="I39" s="4" t="n"/>
      <c r="J39" s="4" t="n"/>
      <c r="K39" s="4">
        <f>H39+I39+J39</f>
        <v/>
      </c>
      <c r="L39" s="4">
        <f>IF(E39&gt;0,K39/E39,0)</f>
        <v/>
      </c>
      <c r="N39">
        <f>IFERROR(INDEX(SHIPPER!$B$5:$B$2000,MATCH(M39,SHIPPER!$A$5:$A$2000,0)),"")</f>
        <v/>
      </c>
      <c r="O39">
        <f>IFERROR(INDEX(SHIPPER!$D$5:$D$2000,MATCH(M39,SHIPPER!$A$5:$A$2000,0)),"")</f>
        <v/>
      </c>
      <c r="P39">
        <f>IFERROR(INDEX(SHIPPER!$E$5:$E$2000,MATCH(M39,SHIPPER!$A$5:$A$2000,0)),"")</f>
        <v/>
      </c>
    </row>
    <row r="40">
      <c r="A40" t="inlineStr">
        <is>
          <t>PUR-036</t>
        </is>
      </c>
      <c r="B40" s="7" t="n">
        <v>46319</v>
      </c>
      <c r="C40" t="inlineStr">
        <is>
          <t>HH136</t>
        </is>
      </c>
      <c r="D40">
        <f>IFERROR(INDEX(PRODUCTS!$B$5:$B$2000,MATCH(C40,PRODUCTS!$A$5:$A$2000,0)),"")</f>
        <v/>
      </c>
      <c r="E40" t="n">
        <v>2</v>
      </c>
      <c r="F40" t="inlineStr">
        <is>
          <t>Pcs</t>
        </is>
      </c>
      <c r="G40" s="4" t="n">
        <v>1</v>
      </c>
      <c r="H40" s="4" t="n">
        <v>2</v>
      </c>
      <c r="I40" s="4" t="n"/>
      <c r="J40" s="4" t="n"/>
      <c r="K40" s="4">
        <f>H40+I40+J40</f>
        <v/>
      </c>
      <c r="L40" s="4">
        <f>IF(E40&gt;0,K40/E40,0)</f>
        <v/>
      </c>
      <c r="N40">
        <f>IFERROR(INDEX(SHIPPER!$B$5:$B$2000,MATCH(M40,SHIPPER!$A$5:$A$2000,0)),"")</f>
        <v/>
      </c>
      <c r="O40">
        <f>IFERROR(INDEX(SHIPPER!$D$5:$D$2000,MATCH(M40,SHIPPER!$A$5:$A$2000,0)),"")</f>
        <v/>
      </c>
      <c r="P40">
        <f>IFERROR(INDEX(SHIPPER!$E$5:$E$2000,MATCH(M40,SHIPPER!$A$5:$A$2000,0)),"")</f>
        <v/>
      </c>
    </row>
    <row r="41">
      <c r="A41" t="inlineStr">
        <is>
          <t>PUR-037</t>
        </is>
      </c>
      <c r="B41" s="7" t="n">
        <v>46319</v>
      </c>
      <c r="C41" t="inlineStr">
        <is>
          <t>HH137</t>
        </is>
      </c>
      <c r="D41">
        <f>IFERROR(INDEX(PRODUCTS!$B$5:$B$2000,MATCH(C41,PRODUCTS!$A$5:$A$2000,0)),"")</f>
        <v/>
      </c>
      <c r="E41" t="n">
        <v>20</v>
      </c>
      <c r="F41" t="inlineStr">
        <is>
          <t>Pcs</t>
        </is>
      </c>
      <c r="G41" s="4" t="n">
        <v>1</v>
      </c>
      <c r="H41" s="4" t="n">
        <v>20</v>
      </c>
      <c r="I41" s="4" t="n"/>
      <c r="J41" s="4" t="n"/>
      <c r="K41" s="4">
        <f>H41+I41+J41</f>
        <v/>
      </c>
      <c r="L41" s="4">
        <f>IF(E41&gt;0,K41/E41,0)</f>
        <v/>
      </c>
      <c r="N41">
        <f>IFERROR(INDEX(SHIPPER!$B$5:$B$2000,MATCH(M41,SHIPPER!$A$5:$A$2000,0)),"")</f>
        <v/>
      </c>
      <c r="O41">
        <f>IFERROR(INDEX(SHIPPER!$D$5:$D$2000,MATCH(M41,SHIPPER!$A$5:$A$2000,0)),"")</f>
        <v/>
      </c>
      <c r="P41">
        <f>IFERROR(INDEX(SHIPPER!$E$5:$E$2000,MATCH(M41,SHIPPER!$A$5:$A$2000,0)),"")</f>
        <v/>
      </c>
    </row>
    <row r="42">
      <c r="A42" t="inlineStr">
        <is>
          <t>PUR-038</t>
        </is>
      </c>
      <c r="B42" s="7" t="n">
        <v>46319</v>
      </c>
      <c r="C42" t="inlineStr">
        <is>
          <t>HH138</t>
        </is>
      </c>
      <c r="D42">
        <f>IFERROR(INDEX(PRODUCTS!$B$5:$B$2000,MATCH(C42,PRODUCTS!$A$5:$A$2000,0)),"")</f>
        <v/>
      </c>
      <c r="E42" t="n">
        <v>20</v>
      </c>
      <c r="F42" t="inlineStr">
        <is>
          <t>Pcs</t>
        </is>
      </c>
      <c r="G42" s="4" t="n">
        <v>1</v>
      </c>
      <c r="H42" s="4" t="n">
        <v>20</v>
      </c>
      <c r="I42" s="4" t="n"/>
      <c r="J42" s="4" t="n"/>
      <c r="K42" s="4">
        <f>H42+I42+J42</f>
        <v/>
      </c>
      <c r="L42" s="4">
        <f>IF(E42&gt;0,K42/E42,0)</f>
        <v/>
      </c>
      <c r="N42">
        <f>IFERROR(INDEX(SHIPPER!$B$5:$B$2000,MATCH(M42,SHIPPER!$A$5:$A$2000,0)),"")</f>
        <v/>
      </c>
      <c r="O42">
        <f>IFERROR(INDEX(SHIPPER!$D$5:$D$2000,MATCH(M42,SHIPPER!$A$5:$A$2000,0)),"")</f>
        <v/>
      </c>
      <c r="P42">
        <f>IFERROR(INDEX(SHIPPER!$E$5:$E$2000,MATCH(M42,SHIPPER!$A$5:$A$2000,0)),"")</f>
        <v/>
      </c>
    </row>
    <row r="43">
      <c r="A43" t="inlineStr">
        <is>
          <t>PUR-039</t>
        </is>
      </c>
      <c r="B43" s="7" t="n">
        <v>46319</v>
      </c>
      <c r="C43" t="inlineStr">
        <is>
          <t>HH139</t>
        </is>
      </c>
      <c r="D43">
        <f>IFERROR(INDEX(PRODUCTS!$B$5:$B$2000,MATCH(C43,PRODUCTS!$A$5:$A$2000,0)),"")</f>
        <v/>
      </c>
      <c r="E43" t="n">
        <v>2</v>
      </c>
      <c r="F43" t="inlineStr">
        <is>
          <t>Pcs</t>
        </is>
      </c>
      <c r="G43" s="4" t="n">
        <v>1</v>
      </c>
      <c r="H43" s="4" t="n">
        <v>2</v>
      </c>
      <c r="I43" s="4" t="n"/>
      <c r="J43" s="4" t="n"/>
      <c r="K43" s="4">
        <f>H43+I43+J43</f>
        <v/>
      </c>
      <c r="L43" s="4">
        <f>IF(E43&gt;0,K43/E43,0)</f>
        <v/>
      </c>
      <c r="N43">
        <f>IFERROR(INDEX(SHIPPER!$B$5:$B$2000,MATCH(M43,SHIPPER!$A$5:$A$2000,0)),"")</f>
        <v/>
      </c>
      <c r="O43">
        <f>IFERROR(INDEX(SHIPPER!$D$5:$D$2000,MATCH(M43,SHIPPER!$A$5:$A$2000,0)),"")</f>
        <v/>
      </c>
      <c r="P43">
        <f>IFERROR(INDEX(SHIPPER!$E$5:$E$2000,MATCH(M43,SHIPPER!$A$5:$A$2000,0)),"")</f>
        <v/>
      </c>
    </row>
    <row r="44">
      <c r="A44" t="inlineStr">
        <is>
          <t>PUR-040</t>
        </is>
      </c>
      <c r="B44" s="7" t="n">
        <v>46319</v>
      </c>
      <c r="C44" t="inlineStr">
        <is>
          <t>HH140</t>
        </is>
      </c>
      <c r="D44">
        <f>IFERROR(INDEX(PRODUCTS!$B$5:$B$2000,MATCH(C44,PRODUCTS!$A$5:$A$2000,0)),"")</f>
        <v/>
      </c>
      <c r="E44" t="n">
        <v>12</v>
      </c>
      <c r="F44" t="inlineStr">
        <is>
          <t>Pcs</t>
        </is>
      </c>
      <c r="G44" s="4" t="n">
        <v>1</v>
      </c>
      <c r="H44" s="4" t="n">
        <v>12</v>
      </c>
      <c r="I44" s="4" t="n"/>
      <c r="J44" s="4" t="n"/>
      <c r="K44" s="4">
        <f>H44+I44+J44</f>
        <v/>
      </c>
      <c r="L44" s="4">
        <f>IF(E44&gt;0,K44/E44,0)</f>
        <v/>
      </c>
      <c r="N44">
        <f>IFERROR(INDEX(SHIPPER!$B$5:$B$2000,MATCH(M44,SHIPPER!$A$5:$A$2000,0)),"")</f>
        <v/>
      </c>
      <c r="O44">
        <f>IFERROR(INDEX(SHIPPER!$D$5:$D$2000,MATCH(M44,SHIPPER!$A$5:$A$2000,0)),"")</f>
        <v/>
      </c>
      <c r="P44">
        <f>IFERROR(INDEX(SHIPPER!$E$5:$E$2000,MATCH(M44,SHIPPER!$A$5:$A$2000,0)),"")</f>
        <v/>
      </c>
    </row>
    <row r="45">
      <c r="A45" t="inlineStr">
        <is>
          <t>PUR-041</t>
        </is>
      </c>
      <c r="B45" s="7" t="n">
        <v>46319</v>
      </c>
      <c r="C45" t="inlineStr">
        <is>
          <t>HH141</t>
        </is>
      </c>
      <c r="D45">
        <f>IFERROR(INDEX(PRODUCTS!$B$5:$B$2000,MATCH(C45,PRODUCTS!$A$5:$A$2000,0)),"")</f>
        <v/>
      </c>
      <c r="E45" t="n">
        <v>1</v>
      </c>
      <c r="F45" t="inlineStr">
        <is>
          <t>Pcs</t>
        </is>
      </c>
      <c r="G45" s="4" t="n">
        <v>1</v>
      </c>
      <c r="H45" s="4" t="n">
        <v>1</v>
      </c>
      <c r="I45" s="4" t="n"/>
      <c r="J45" s="4" t="n"/>
      <c r="K45" s="4">
        <f>H45+I45+J45</f>
        <v/>
      </c>
      <c r="L45" s="4">
        <f>IF(E45&gt;0,K45/E45,0)</f>
        <v/>
      </c>
      <c r="N45">
        <f>IFERROR(INDEX(SHIPPER!$B$5:$B$2000,MATCH(M45,SHIPPER!$A$5:$A$2000,0)),"")</f>
        <v/>
      </c>
      <c r="O45">
        <f>IFERROR(INDEX(SHIPPER!$D$5:$D$2000,MATCH(M45,SHIPPER!$A$5:$A$2000,0)),"")</f>
        <v/>
      </c>
      <c r="P45">
        <f>IFERROR(INDEX(SHIPPER!$E$5:$E$2000,MATCH(M45,SHIPPER!$A$5:$A$2000,0)),"")</f>
        <v/>
      </c>
    </row>
    <row r="46">
      <c r="A46" t="inlineStr">
        <is>
          <t>PUR-042</t>
        </is>
      </c>
      <c r="B46" s="7" t="n">
        <v>46319</v>
      </c>
      <c r="C46" t="inlineStr">
        <is>
          <t>HH142</t>
        </is>
      </c>
      <c r="D46">
        <f>IFERROR(INDEX(PRODUCTS!$B$5:$B$2000,MATCH(C46,PRODUCTS!$A$5:$A$2000,0)),"")</f>
        <v/>
      </c>
      <c r="E46" t="n">
        <v>6</v>
      </c>
      <c r="F46" t="inlineStr">
        <is>
          <t>Pcs</t>
        </is>
      </c>
      <c r="G46" s="4" t="n">
        <v>1</v>
      </c>
      <c r="H46" s="4" t="n">
        <v>6</v>
      </c>
      <c r="I46" s="4" t="n"/>
      <c r="J46" s="4" t="n"/>
      <c r="K46" s="4">
        <f>H46+I46+J46</f>
        <v/>
      </c>
      <c r="L46" s="4">
        <f>IF(E46&gt;0,K46/E46,0)</f>
        <v/>
      </c>
      <c r="N46">
        <f>IFERROR(INDEX(SHIPPER!$B$5:$B$2000,MATCH(M46,SHIPPER!$A$5:$A$2000,0)),"")</f>
        <v/>
      </c>
      <c r="O46">
        <f>IFERROR(INDEX(SHIPPER!$D$5:$D$2000,MATCH(M46,SHIPPER!$A$5:$A$2000,0)),"")</f>
        <v/>
      </c>
      <c r="P46">
        <f>IFERROR(INDEX(SHIPPER!$E$5:$E$2000,MATCH(M46,SHIPPER!$A$5:$A$2000,0)),"")</f>
        <v/>
      </c>
    </row>
    <row r="47">
      <c r="B47" s="7" t="n"/>
      <c r="G47" s="4" t="n"/>
      <c r="H47" s="4" t="n"/>
      <c r="I47" s="4" t="n"/>
      <c r="J47" s="4" t="n"/>
      <c r="K47" s="4" t="n"/>
      <c r="L47" s="4" t="n"/>
    </row>
    <row r="48">
      <c r="B48" s="7" t="n"/>
      <c r="G48" s="4" t="n"/>
      <c r="H48" s="4" t="n"/>
      <c r="I48" s="4" t="n"/>
      <c r="J48" s="4" t="n"/>
      <c r="K48" s="4" t="n"/>
      <c r="L48" s="4" t="n"/>
    </row>
    <row r="49">
      <c r="B49" s="7" t="n"/>
      <c r="G49" s="4" t="n"/>
      <c r="H49" s="4" t="n"/>
      <c r="I49" s="4" t="n"/>
      <c r="J49" s="4" t="n"/>
      <c r="K49" s="4" t="n"/>
      <c r="L49" s="4" t="n"/>
    </row>
    <row r="50">
      <c r="B50" s="7" t="n"/>
      <c r="G50" s="4" t="n"/>
      <c r="H50" s="4" t="n"/>
      <c r="I50" s="4" t="n"/>
      <c r="J50" s="4" t="n"/>
      <c r="K50" s="4" t="n"/>
      <c r="L50" s="4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20" customWidth="1" min="3" max="3"/>
    <col width="16" customWidth="1" min="4" max="4"/>
    <col width="28" customWidth="1" min="5" max="5"/>
    <col width="32" customWidth="1" min="6" max="6"/>
    <col width="16" customWidth="1" min="7" max="7"/>
    <col width="28" customWidth="1" min="8" max="8"/>
  </cols>
  <sheetData>
    <row r="1">
      <c r="A1" s="1" t="inlineStr">
        <is>
          <t>SHIPPER</t>
        </is>
      </c>
    </row>
    <row r="2">
      <c r="A2" s="2" t="inlineStr">
        <is>
          <t>Shipper details used by the Purchase sheet: pick a Shipper Number on each purchase and the name, contact and e-mail fill in.</t>
        </is>
      </c>
    </row>
    <row r="4">
      <c r="A4" s="3" t="inlineStr">
        <is>
          <t>Shipper Number</t>
        </is>
      </c>
      <c r="B4" s="3" t="inlineStr">
        <is>
          <t>Shipper Name</t>
        </is>
      </c>
      <c r="C4" s="3" t="inlineStr">
        <is>
          <t>Contact Person</t>
        </is>
      </c>
      <c r="D4" s="3" t="inlineStr">
        <is>
          <t>Phone</t>
        </is>
      </c>
      <c r="E4" s="3" t="inlineStr">
        <is>
          <t>Email</t>
        </is>
      </c>
      <c r="F4" s="3" t="inlineStr">
        <is>
          <t>Address</t>
        </is>
      </c>
      <c r="G4" s="3" t="inlineStr">
        <is>
          <t>City</t>
        </is>
      </c>
      <c r="H4" s="3" t="inlineStr">
        <is>
          <t>Remarks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1" customWidth="1" min="3" max="3"/>
    <col width="11" customWidth="1" min="4" max="4"/>
    <col width="11" customWidth="1" min="5" max="5"/>
    <col width="11" customWidth="1" min="6" max="6"/>
    <col width="28" customWidth="1" min="7" max="7"/>
  </cols>
  <sheetData>
    <row r="1">
      <c r="A1" s="1" t="inlineStr">
        <is>
          <t>TAX</t>
        </is>
      </c>
    </row>
    <row r="2">
      <c r="A2" s="2" t="inlineStr">
        <is>
          <t>Tax rates used by the Sales sheet: pick a Tax Code on each sale and its GST / CGST / SGST / IGST (%) are applied.</t>
        </is>
      </c>
    </row>
    <row r="4">
      <c r="A4" s="3" t="inlineStr">
        <is>
          <t>Tax Code</t>
        </is>
      </c>
      <c r="B4" s="3" t="inlineStr">
        <is>
          <t>Tax Name</t>
        </is>
      </c>
      <c r="C4" s="3" t="inlineStr">
        <is>
          <t>GST (%)</t>
        </is>
      </c>
      <c r="D4" s="3" t="inlineStr">
        <is>
          <t>CGST (%)</t>
        </is>
      </c>
      <c r="E4" s="3" t="inlineStr">
        <is>
          <t>SGST (%)</t>
        </is>
      </c>
      <c r="F4" s="3" t="inlineStr">
        <is>
          <t>IGST (%)</t>
        </is>
      </c>
      <c r="G4" s="3" t="inlineStr">
        <is>
          <t>Remarks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Column</t>
        </is>
      </c>
      <c r="C1" t="inlineStr">
        <is>
          <t>Type</t>
        </is>
      </c>
      <c r="D1" t="inlineStr">
        <is>
          <t>Required</t>
        </is>
      </c>
      <c r="E1" t="inlineStr">
        <is>
          <t>Unique</t>
        </is>
      </c>
      <c r="F1" t="inlineStr">
        <is>
          <t>Default</t>
        </is>
      </c>
      <c r="G1" t="inlineStr">
        <is>
          <t>Options</t>
        </is>
      </c>
      <c r="H1" t="inlineStr">
        <is>
          <t>Formula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2026-10-24T13:14:54Z</dcterms:created>
  <dcterms:modified xmlns:dcterms="http://purl.org/dc/terms/" xmlns:xsi="http://www.w3.org/2001/XMLSchema-instance" xsi:type="dcterms:W3CDTF">2026-10-25T10:02:00Z</dcterms:modified>
</cp:coreProperties>
</file>